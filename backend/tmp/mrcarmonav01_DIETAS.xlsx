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Anverso" state="visible" r:id="rId4"/>
    <sheet sheetId="2" name="Reverso" state="visible" r:id="rId5"/>
    <sheet sheetId="3" name="Autoliquidación" state="visible" r:id="rId6"/>
    <sheet sheetId="4" name="Instrucciones" state="visible" r:id="rId7"/>
  </sheets>
  <definedNames>
    <definedName name="_xlnm.Print_Area" localSheetId="0">'Anverso'!$A1:$R43</definedName>
    <definedName name="_xlnm.Print_Area" localSheetId="1">'Reverso'!$A1:$P50</definedName>
    <definedName name="_xlnm.Print_Area" localSheetId="2">'Autoliquidación'!$A1:$M31</definedName>
    <definedName name="_xlnm.Print_Area" localSheetId="3">'Instrucciones'!$A1:$F44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>DENOMINACION DEL CENTRO</t>
        </r>
      </text>
    </comment>
    <comment ref="L1" authorId="0">
      <text>
        <r>
          <rPr>
            <charset val="1"/>
            <sz val="10"/>
            <rFont val="Arial"/>
          </rPr>
          <t xml:space="preserve">PARA DESPLAZAMIENTOS DESDE EL 29MAY2025 EN ADELANTE
</t>
        </r>
      </text>
    </comment>
    <comment ref="D3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LOCALIDAD DONDE RADICA EL CENTRO
</t>
        </r>
      </text>
    </comment>
    <comment ref="P3" authorId="0">
      <text>
        <r>
          <rPr>
            <charset val="1"/>
            <sz val="10"/>
            <rFont val="Arial"/>
          </rPr>
          <t>Consignar el porcentaje que a efectos de retención del I.R.P.F. figura en la nómina</t>
        </r>
      </text>
    </comment>
    <comment ref="O4" authorId="0">
      <text>
        <r>
          <rPr>
            <charset val="1"/>
            <sz val="10"/>
            <rFont val="Arial"/>
          </rPr>
          <t xml:space="preserve">CONSIGNAR  F ó  L
F  para funcionarios 
L   para  laborales</t>
        </r>
      </text>
    </comment>
    <comment ref="O5" authorId="0">
      <text>
        <r>
          <rPr>
            <charset val="1"/>
            <sz val="10"/>
            <rFont val="Arial"/>
          </rPr>
          <t xml:space="preserve">CONSIGNAR:
221-B: C P R
222-A: COL PUBLICOS, CRAS
222-B: IES,IESOS
222-C: E O I,CONSERVATORIO
222-C: EDUC ESPECIAL,EQUIPOS
222-E: ADULTOS</t>
        </r>
      </text>
    </comment>
    <comment ref="A8" authorId="0">
      <text>
        <r>
          <rPr>
            <charset val="1"/>
            <sz val="10"/>
            <rFont val="Arial"/>
          </rPr>
          <t>CONSIGNAR HORA, DIA Y MES DE  INICIO DE LA COMISIÓN.</t>
        </r>
      </text>
    </comment>
    <comment ref="D8" authorId="0">
      <text>
        <r>
          <rPr>
            <charset val="1"/>
            <sz val="10"/>
            <rFont val="Arial"/>
          </rPr>
          <t xml:space="preserve">EN ESTAS CELDAS FIGURARÁN LOS DATOS RELATIVOS AL REGRESO A LA LOCALIDAD DE PARTIDA, CONSIGNANDO EN "15 horas" UNA "X"  SEGÚN SEA ANTERIOR O POSTERIOR A DICHA HORA. </t>
        </r>
      </text>
    </comment>
    <comment ref="H8" authorId="0">
      <text>
        <r>
          <rPr>
            <charset val="1"/>
            <sz val="10"/>
            <rFont val="Arial"/>
          </rPr>
          <t xml:space="preserve">CONSIGNAR LAS LOCALIDADES A DONDE SE REALIZA LA COMISIÓN
</t>
        </r>
      </text>
    </comment>
    <comment ref="L8" authorId="0">
      <text>
        <r>
          <rPr>
            <charset val="1"/>
            <sz val="10"/>
            <rFont val="Arial"/>
          </rPr>
          <t xml:space="preserve">CONSIGNAR: 
</t>
        </r>
        <r>
          <rPr>
            <charset val="1"/>
            <color rgb="FF000000"/>
            <family val="2"/>
            <sz val="8"/>
            <rFont val="Tahoma"/>
          </rPr>
          <t xml:space="preserve">VEHICULO PROPIO O EL MEDIO DE TRANSPORTE QUE VA A UTILIZARSE
</t>
        </r>
      </text>
    </comment>
    <comment ref="M8" authorId="0">
      <text>
        <r>
          <rPr>
            <charset val="1"/>
            <sz val="10"/>
            <rFont val="Arial"/>
          </rPr>
          <t>CONSIGNAR  ESCUETAMENTE EL OBJETO DEL VIAJE O COMISIÓN</t>
        </r>
      </text>
    </comment>
    <comment ref="D9" authorId="0">
      <text>
        <r>
          <rPr>
            <charset val="1"/>
            <sz val="10"/>
            <rFont val="Arial"/>
          </rPr>
          <t xml:space="preserve">CONSIGNAR UNA X EN ANT. O POST. SEGÚN PROCEDA.
</t>
        </r>
      </text>
    </comment>
    <comment ref="A11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1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2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2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3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3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4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4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5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5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6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16" authorId="0">
      <text>
        <r>
          <rPr>
            <charset val="1"/>
            <sz val="10"/>
            <rFont val="Arial"/>
          </rPr>
          <t xml:space="preserve">
no ponga el origen, sólo la/s localidad/es de DESTINO</t>
        </r>
      </text>
    </comment>
    <comment ref="A17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 xml:space="preserve"> 08,45    10,30</t>
        </r>
      </text>
    </comment>
    <comment ref="H27" authorId="0">
      <text>
        <r>
          <rPr>
            <charset val="1"/>
            <sz val="10"/>
            <rFont val="Arial"/>
          </rPr>
          <t xml:space="preserve">LOCALIDAD
</t>
        </r>
      </text>
    </comment>
    <comment ref="K27" authorId="0">
      <text>
        <r>
          <rPr>
            <charset val="1"/>
            <sz val="10"/>
            <rFont val="Arial"/>
          </rPr>
          <t xml:space="preserve">FECHA
Esta fecha será la misma o anterior a la de la primera comisión.
</t>
        </r>
      </text>
    </comment>
    <comment ref="J33" authorId="0">
      <text>
        <r>
          <rPr>
            <charset val="1"/>
            <sz val="10"/>
            <rFont val="Arial"/>
          </rPr>
          <t xml:space="preserve">NOMBRE DEL DIRECTOR DEL CENTRO
</t>
        </r>
      </text>
    </comment>
    <comment ref="I39" authorId="0">
      <text>
        <r>
          <rPr>
            <charset val="1"/>
            <sz val="10"/>
            <rFont val="Arial"/>
          </rPr>
          <t xml:space="preserve">LA FECHA SERÁ IGUAL O POSTERIOR A LA DE LA ÚLTIMA COMISIÓN
</t>
        </r>
        <r>
          <rPr>
            <charset val="1"/>
            <color rgb="FF000000"/>
            <family val="2"/>
            <sz val="8"/>
            <rFont val="Tahoma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charset val="1"/>
            <sz val="10"/>
            <rFont val="Arial"/>
          </rPr>
          <t>EL MEDIO DE LOCOMOCIÓN UTILIZADO COINCIDIRÁ CON EL QUE FIGURA EN EL APARTADO "I-PROPUESTA"</t>
        </r>
      </text>
    </comment>
    <comment ref="A8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8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9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9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0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0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1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1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2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2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A13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 xml:space="preserve">SEPARAR HORAS Y MINUTOS CON COMA
8,30     12,45</t>
        </r>
      </text>
    </comment>
    <comment ref="D13" authorId="0">
      <text>
        <r>
          <rPr>
            <charset val="1"/>
            <sz val="10"/>
            <rFont val="Arial"/>
          </rPr>
          <t xml:space="preserve">
SEPARAR HORAS Y MINUTOS CON COMA
</t>
        </r>
        <r>
          <rPr>
            <charset val="1"/>
            <color rgb="FF000000"/>
            <family val="2"/>
            <sz val="12"/>
            <rFont val="Tahoma"/>
          </rPr>
          <t>12,30     14,45</t>
        </r>
      </text>
    </comment>
    <comment ref="I24" authorId="0">
      <text>
        <r>
          <rPr>
            <charset val="1"/>
            <sz val="10"/>
            <rFont val="Arial"/>
          </rPr>
          <t xml:space="preserve">LA FECHA DEBE SER IGUAL O POSTERIOR A LA DE LA ÚLTIMA COMISIÓN
</t>
        </r>
      </text>
    </comment>
    <comment ref="H30" authorId="0">
      <text>
        <r>
          <rPr>
            <charset val="1"/>
            <sz val="10"/>
            <rFont val="Arial"/>
          </rPr>
          <t>NOMBRE DEL DECLARANTE.</t>
        </r>
      </text>
    </comment>
    <comment ref="A33" authorId="0">
      <text>
        <r>
          <rPr>
            <charset val="1"/>
            <sz val="10"/>
            <rFont val="Arial"/>
          </rPr>
          <t xml:space="preserve">cec:
</t>
        </r>
        <r>
          <rPr>
            <charset val="1"/>
            <color rgb="FF000000"/>
            <family val="2"/>
            <sz val="8"/>
            <rFont val="Tahoma"/>
          </rPr>
          <t>SE RELLENA AUTOMATICAMENTE AL CUMPLIMENTAR LA AUTOLIQUIDACIÓN</t>
        </r>
      </text>
    </comment>
    <comment ref="J50" authorId="0">
      <text>
        <r>
          <rPr>
            <charset val="1"/>
            <sz val="10"/>
            <rFont val="Arial"/>
          </rPr>
          <t>NOMBRE DEL DECLARANTE.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H5" authorId="0">
      <text>
        <r>
          <rPr>
            <charset val="1"/>
            <sz val="10"/>
            <rFont val="Arial"/>
          </rPr>
          <t xml:space="preserve">IMPORTE ABONADO 
</t>
        </r>
        <r>
          <rPr>
            <b/>
            <charset val="1"/>
            <color rgb="FF000000"/>
            <family val="2"/>
            <sz val="10"/>
            <rFont val="Tahoma"/>
          </rPr>
          <t>La factura o billete se acompañará cuando se presenten los impresos del desplazamiento</t>
        </r>
      </text>
    </comment>
    <comment ref="H6" authorId="0">
      <text>
        <r>
          <rPr>
            <charset val="1"/>
            <sz val="10"/>
            <rFont val="Arial"/>
          </rPr>
          <t xml:space="preserve">IMPORTE ABONADO
</t>
        </r>
        <r>
          <rPr>
            <b/>
            <charset val="1"/>
            <color rgb="FF000000"/>
            <family val="2"/>
            <sz val="10"/>
            <rFont val="Tahoma"/>
          </rPr>
          <t>La factura o billete se acompañará cuando se presenten los impresos del desplazamiento</t>
        </r>
      </text>
    </comment>
    <comment ref="H7" authorId="0">
      <text>
        <r>
          <rPr>
            <charset val="1"/>
            <sz val="10"/>
            <rFont val="Arial"/>
          </rPr>
          <t xml:space="preserve">IMPORTE ABONADO
</t>
        </r>
        <r>
          <rPr>
            <b/>
            <charset val="1"/>
            <color rgb="FF000000"/>
            <family val="2"/>
            <sz val="10"/>
            <rFont val="Tahoma"/>
          </rPr>
          <t xml:space="preserve">La factura o billete se acompañará cuando se presenten los impresos del desplazamiento
</t>
        </r>
      </text>
    </comment>
    <comment ref="D12" authorId="0">
      <text>
        <r>
          <rPr>
            <charset val="1"/>
            <sz val="10"/>
            <rFont val="Arial"/>
          </rPr>
          <t xml:space="preserve">
Cruzo la frontera, como o ceno y me vuelvo.
</t>
        </r>
      </text>
    </comment>
    <comment ref="D14" authorId="0">
      <text>
        <r>
          <rPr>
            <charset val="1"/>
            <sz val="10"/>
            <rFont val="Arial"/>
          </rPr>
          <t xml:space="preserve">MAXIMO PERMITIDO:   UNA
Sólo para el día de ida, </t>
        </r>
        <r>
          <rPr>
            <charset val="1"/>
            <color rgb="FF000000"/>
            <family val="2"/>
            <sz val="8"/>
            <rFont val="Tahoma"/>
          </rPr>
          <t xml:space="preserve">una vez cruzada la frontera, cenas en extranjero y te quedas en extranjero a dormir.
</t>
        </r>
      </text>
    </comment>
    <comment ref="G15" authorId="0">
      <text>
        <r>
          <rPr>
            <charset val="1"/>
            <sz val="10"/>
            <rFont val="Arial"/>
          </rPr>
          <t xml:space="preserve">MAXIMO PERMITIDO:   UNA
</t>
        </r>
        <r>
          <rPr>
            <charset val="1"/>
            <color rgb="FF000000"/>
            <family val="2"/>
            <sz val="8"/>
            <rFont val="Tahoma"/>
          </rPr>
          <t xml:space="preserve">El día de ida, cenas  y te quedas a dormir.
</t>
        </r>
      </text>
    </comment>
    <comment ref="D16" authorId="0">
      <text>
        <r>
          <rPr>
            <charset val="1"/>
            <sz val="10"/>
            <rFont val="Arial"/>
          </rPr>
          <t>Una vez cruzada la frontera, como y ceno y me vuelvo a casa</t>
        </r>
      </text>
    </comment>
    <comment ref="G17" authorId="0">
      <text>
        <r>
          <rPr>
            <charset val="1"/>
            <sz val="10"/>
            <rFont val="Arial"/>
          </rPr>
          <t>Salgo del termino municipal del colegio o de mi casa,  como y ceno y vuelvo.</t>
        </r>
      </text>
    </comment>
    <comment ref="E22" authorId="0">
      <text>
        <r>
          <rPr>
            <charset val="1"/>
            <sz val="10"/>
            <rFont val="Arial"/>
          </rPr>
          <t xml:space="preserve">IMPORTE PAGADO POR ALOJAMIENTO Y DESAYUNO  
La factura de hotel (obligatoria) se acompañará cuando se presenten los impresos del desplazamiento.
El importe aquí consignado hará referencia al importe de alojamiento y desayuno iva incluido.</t>
        </r>
      </text>
    </comment>
    <comment ref="E23" authorId="0">
      <text>
        <r>
          <rPr>
            <charset val="1"/>
            <sz val="10"/>
            <rFont val="Arial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  <comment ref="E25" authorId="0">
      <text>
        <r>
          <rPr>
            <charset val="1"/>
            <sz val="10"/>
            <rFont val="Arial"/>
          </rPr>
          <t xml:space="preserve">IMPORTE PAGADO POR ALOJAMIENTO Y DESAYUNO  
La factura/s de hotel (obligatoria) se acompañará cuando se presenten los impresos del desplazamiento.
El importe aquí consignado hará referencia al importe de alojamiento y desayuno iva incluido.</t>
        </r>
      </text>
    </comment>
  </commentList>
</comments>
</file>

<file path=xl/sharedStrings.xml><?xml version="1.0" encoding="utf-8"?>
<sst xmlns="http://schemas.openxmlformats.org/spreadsheetml/2006/main" count="289" uniqueCount="254">
  <si>
    <t>Centro:</t>
  </si>
  <si>
    <t>IES FRANCISCO DE ORELLANA</t>
  </si>
  <si>
    <t>INDEMNIZACIONES POR RAZÓN DEL SERVICIO  (Decreto 42/2025)</t>
  </si>
  <si>
    <t>CONSEJERÍA DE EDUCACIÓN, CIENCIA Y FORMACIÓN PROFESIONAL</t>
  </si>
  <si>
    <t>LOCALIDAD:</t>
  </si>
  <si>
    <t>Trujillo, Cáceres, Extremadura, España</t>
  </si>
  <si>
    <t>Apellidos y Nombre:</t>
  </si>
  <si>
    <t>Carmona Vinagre, Maria Remedios</t>
  </si>
  <si>
    <t>Tipo I.R.P.F</t>
  </si>
  <si>
    <t>%</t>
  </si>
  <si>
    <t>Cuerpo:</t>
  </si>
  <si>
    <t>Grupo</t>
  </si>
  <si>
    <t>F</t>
  </si>
  <si>
    <t>NIF:</t>
  </si>
  <si>
    <t>I.- PROPUESTA Y APROBACIÓN</t>
  </si>
  <si>
    <t>Programa de gasto al que se imputa la presente liquidación:</t>
  </si>
  <si>
    <t>222-B</t>
  </si>
  <si>
    <t>El/La Director/a del Centro, en base a lo establecido en el Decreto 42/2025, de 19 de mayo (D.O.E. nº 101 de 28 de mayo)</t>
  </si>
  <si>
    <r>
      <rPr>
        <charset val="1"/>
        <family val="2"/>
        <sz val="9"/>
        <rFont val="Arial"/>
      </rPr>
      <t xml:space="preserve">propone la realización por el personal </t>
    </r>
    <r>
      <rPr>
        <b/>
        <charset val="1"/>
        <family val="2"/>
        <sz val="9"/>
        <rFont val="Arial"/>
      </rPr>
      <t>funcionario / laboral</t>
    </r>
    <r>
      <rPr>
        <charset val="1"/>
        <family val="2"/>
        <sz val="9"/>
        <rFont val="Arial"/>
      </rPr>
      <t xml:space="preserve"> que figura en el encabezamiento, de las siguientes comisiones y en los términos que igualmente se señalan:</t>
    </r>
  </si>
  <si>
    <t>SALIDA</t>
  </si>
  <si>
    <t>REGRESO</t>
  </si>
  <si>
    <t>L    O    C    A    L    I    D    A    D /es</t>
  </si>
  <si>
    <t>Medio</t>
  </si>
  <si>
    <t>OBJETO DE LA COMISIÓN</t>
  </si>
  <si>
    <t>hora</t>
  </si>
  <si>
    <t>día</t>
  </si>
  <si>
    <t>mes</t>
  </si>
  <si>
    <t>16 horas</t>
  </si>
  <si>
    <t>transporte</t>
  </si>
  <si>
    <t>ant.</t>
  </si>
  <si>
    <t>pos.</t>
  </si>
  <si>
    <t>( A la/s que se desplaza)</t>
  </si>
  <si>
    <t>a utilizar</t>
  </si>
  <si>
    <t xml:space="preserve">En </t>
  </si>
  <si>
    <t>EL/LA DIRECTOR/A DEL CENTRO</t>
  </si>
  <si>
    <t>Fdo.:</t>
  </si>
  <si>
    <t>MARÍA MONTAÑA HERNÁNDEZ FERNÁNDEZ</t>
  </si>
  <si>
    <t>III.- CERTIFICADO REALIZACIÓN DE LA COMISIÓN:</t>
  </si>
  <si>
    <r>
      <rPr>
        <b/>
        <charset val="1"/>
        <family val="2"/>
        <sz val="10"/>
        <rFont val="Arial"/>
      </rPr>
      <t>El/La Director/a del Centro,</t>
    </r>
    <r>
      <rPr>
        <charset val="1"/>
        <family val="2"/>
        <sz val="10"/>
        <rFont val="Arial"/>
      </rPr>
      <t xml:space="preserve"> CERTIFICA que las comisiones a que hace referencia la declaración del interesado (al dorso) y que fueron propuestas por esta dirección </t>
    </r>
  </si>
  <si>
    <t>han sido realizadas de conformidad con la orden de servicio y se ajustan a la legislación en vigor.</t>
  </si>
  <si>
    <t>(fecha, firma y sello)</t>
  </si>
  <si>
    <t>II.- DECLARACIÓN DEL INTERESADO</t>
  </si>
  <si>
    <r>
      <rPr>
        <charset val="1"/>
        <sz val="10"/>
        <rFont val="Arial"/>
      </rPr>
      <t xml:space="preserve">Declaro haber realizado los desplazamientos de conformidad con la orden de servicio, habiéndo utilizado  </t>
    </r>
    <r>
      <rPr>
        <i/>
        <charset val="1"/>
        <family val="2"/>
        <sz val="10"/>
        <rFont val="Arial"/>
      </rPr>
      <t>(consignar medio; y en su caso matrícula)</t>
    </r>
  </si>
  <si>
    <t>I T I N E R A R I O     R E A L I Z A D O</t>
  </si>
  <si>
    <t>Nº.  Kms.</t>
  </si>
  <si>
    <t>Nº de ½ manut.</t>
  </si>
  <si>
    <t>Nº de aloj.</t>
  </si>
  <si>
    <t>En</t>
  </si>
  <si>
    <t>a</t>
  </si>
  <si>
    <t>EL COMISIONADO</t>
  </si>
  <si>
    <t>(firma)</t>
  </si>
  <si>
    <t>IV - LIQUIDACIÓN DE LA COMISIÓN.</t>
  </si>
  <si>
    <t>Porcentaje I.R.P.F. del declarante.........................................:</t>
  </si>
  <si>
    <t>C   O   N   C   E   P   T   O</t>
  </si>
  <si>
    <t>A</t>
  </si>
  <si>
    <t>B</t>
  </si>
  <si>
    <t xml:space="preserve">C </t>
  </si>
  <si>
    <t>D</t>
  </si>
  <si>
    <t>E</t>
  </si>
  <si>
    <t>Núm.</t>
  </si>
  <si>
    <t>Importe / u</t>
  </si>
  <si>
    <r>
      <rPr>
        <charset val="1"/>
        <sz val="10"/>
        <rFont val="Arial"/>
      </rPr>
      <t xml:space="preserve">Total          </t>
    </r>
    <r>
      <rPr>
        <charset val="1"/>
        <family val="2"/>
        <sz val="6"/>
        <rFont val="Arial"/>
      </rPr>
      <t>(AxB)</t>
    </r>
  </si>
  <si>
    <t>Base     I.R.P.F.</t>
  </si>
  <si>
    <t>I.R.P.F.  retenido</t>
  </si>
  <si>
    <r>
      <rPr>
        <charset val="1"/>
        <sz val="10"/>
        <rFont val="Arial"/>
      </rPr>
      <t xml:space="preserve">   Liquido        </t>
    </r>
    <r>
      <rPr>
        <charset val="1"/>
        <family val="2"/>
        <sz val="6"/>
        <rFont val="Arial"/>
      </rPr>
      <t xml:space="preserve">  (C-E)</t>
    </r>
  </si>
  <si>
    <t>MANUTENCIÓN</t>
  </si>
  <si>
    <t>ALOJAMIENTO</t>
  </si>
  <si>
    <t>LOCOMOCIÓN</t>
  </si>
  <si>
    <t>V. propio (kms.)</t>
  </si>
  <si>
    <t>Trans. público</t>
  </si>
  <si>
    <t>Otros</t>
  </si>
  <si>
    <t>T  O  T  A  L  E  S</t>
  </si>
  <si>
    <t>Páguese</t>
  </si>
  <si>
    <t>Recibi:</t>
  </si>
  <si>
    <t>Total a abonar......</t>
  </si>
  <si>
    <t>EL/LA DIRECTOR/A</t>
  </si>
  <si>
    <t>Programa de gasto:</t>
  </si>
  <si>
    <r>
      <rPr>
        <b/>
        <charset val="1"/>
        <color rgb="FF000000"/>
        <family val="1"/>
        <sz val="12"/>
        <rFont val="Times New Roman"/>
      </rPr>
      <t xml:space="preserve">Calcula INDEMNIZACIONES POR RAZÓN DEL SERVICIO   </t>
    </r>
    <r>
      <rPr>
        <b/>
        <charset val="1"/>
        <color rgb="FFFFFF00"/>
        <family val="1"/>
        <sz val="12"/>
        <rFont val="Times New Roman"/>
      </rPr>
      <t>desde 29 Mayo 2025                                                                                                Decreto 42/2025 de 19 de mayo (DOE nº 101 de 28mayo)</t>
    </r>
  </si>
  <si>
    <t>Declarante:</t>
  </si>
  <si>
    <t>Fecha:</t>
  </si>
  <si>
    <t>NÚM.</t>
  </si>
  <si>
    <t>INTEGRO</t>
  </si>
  <si>
    <t>Exento de Irpf</t>
  </si>
  <si>
    <t>Sujeto a Irpf</t>
  </si>
  <si>
    <t>Tipo IRPF</t>
  </si>
  <si>
    <t>RETENCIÓN</t>
  </si>
  <si>
    <t>A PAGAR</t>
  </si>
  <si>
    <t>Kilómetros</t>
  </si>
  <si>
    <t>Transporte público</t>
  </si>
  <si>
    <t>Peaje</t>
  </si>
  <si>
    <t>Aparcamiento</t>
  </si>
  <si>
    <t xml:space="preserve">Subtotales Locomoción    </t>
  </si>
  <si>
    <t>Extranjero</t>
  </si>
  <si>
    <t>ESPAÑA</t>
  </si>
  <si>
    <t>Nº ½ manut.   SIN pernocta en Extranjero</t>
  </si>
  <si>
    <t>Nº ½ manut.   SIN  pernocta en ESPAÑA</t>
  </si>
  <si>
    <t>Nº ½ manut. CON pernocta en Extranjero</t>
  </si>
  <si>
    <t>Nº ½ manut.   CON pernocta  en ESPAÑA</t>
  </si>
  <si>
    <t>Nº manut.Compl. SIN pernocta Extranjero</t>
  </si>
  <si>
    <t>Nº manut.completa SIN pernocta ESPAÑA</t>
  </si>
  <si>
    <t>Nº manut.Compl. CON pernocta Extranjero</t>
  </si>
  <si>
    <t>Nº manut.Compl. CON pernocta ESPAÑA</t>
  </si>
  <si>
    <t>Subtotales 1/2 manut.</t>
  </si>
  <si>
    <t>DIAS</t>
  </si>
  <si>
    <t>JUSTIFICADO</t>
  </si>
  <si>
    <t>EN ESPAÑA</t>
  </si>
  <si>
    <t>OTRO PAIS A ELEGIR AQUÍ</t>
  </si>
  <si>
    <t>Subtotales Alojamiento</t>
  </si>
  <si>
    <t>Sujeto a IRPF</t>
  </si>
  <si>
    <t>RETENCION</t>
  </si>
  <si>
    <t>ALOJAMIENTO Y DESAYUNO GRUPO 1 A.G.E   Resol.2ene2008 S.E.H.P. (BOE 3enero)</t>
  </si>
  <si>
    <t>ALEMANIA</t>
  </si>
  <si>
    <t>ANDORRA</t>
  </si>
  <si>
    <t>ANGOLA</t>
  </si>
  <si>
    <t>ARABIA SAUDITA</t>
  </si>
  <si>
    <t>ARGELIA</t>
  </si>
  <si>
    <t>ARGENTINA</t>
  </si>
  <si>
    <t>AUSTRALIA</t>
  </si>
  <si>
    <t>AUSTRIA</t>
  </si>
  <si>
    <t>BÉLGICA</t>
  </si>
  <si>
    <t>BOLIVIA</t>
  </si>
  <si>
    <t>BOSNIA-HERZEGOVINA</t>
  </si>
  <si>
    <t>BRASIL</t>
  </si>
  <si>
    <t>BULGARIA</t>
  </si>
  <si>
    <t>CAMERÚN</t>
  </si>
  <si>
    <t>CANADÁ</t>
  </si>
  <si>
    <t>CHILE</t>
  </si>
  <si>
    <t>CHINA</t>
  </si>
  <si>
    <t>COLOMBIA</t>
  </si>
  <si>
    <t>COREA</t>
  </si>
  <si>
    <t>COSTA DE MARFIL</t>
  </si>
  <si>
    <t>COSTA RICA</t>
  </si>
  <si>
    <t>CROACIA</t>
  </si>
  <si>
    <t>CUBA</t>
  </si>
  <si>
    <t>DINAMARCA</t>
  </si>
  <si>
    <t>R. DOMINICANA</t>
  </si>
  <si>
    <t>ECUADOR</t>
  </si>
  <si>
    <t>EGIPTO</t>
  </si>
  <si>
    <t>EL SALVADOR</t>
  </si>
  <si>
    <t>EMIRATOS ÁRABES UNIDOS</t>
  </si>
  <si>
    <t>ESLOVAQUIA</t>
  </si>
  <si>
    <t>ESTADOS UNIDOS</t>
  </si>
  <si>
    <t>ETIOPÍA</t>
  </si>
  <si>
    <t>FILIPINAS</t>
  </si>
  <si>
    <t>FINLANDIA</t>
  </si>
  <si>
    <t>FRANCIA</t>
  </si>
  <si>
    <t>GABÓN</t>
  </si>
  <si>
    <t>GHANA</t>
  </si>
  <si>
    <t>GRECIA</t>
  </si>
  <si>
    <t>GUATEMALA</t>
  </si>
  <si>
    <t>GUINEA ECUATORIAL</t>
  </si>
  <si>
    <t>HAITÍ</t>
  </si>
  <si>
    <t>HONDURAS</t>
  </si>
  <si>
    <t>HONG KONG</t>
  </si>
  <si>
    <t>HUNGRÍA</t>
  </si>
  <si>
    <t>INDIA</t>
  </si>
  <si>
    <t>INDONESIA</t>
  </si>
  <si>
    <t>IRAK</t>
  </si>
  <si>
    <t>IRÁN</t>
  </si>
  <si>
    <t>IRLANDA</t>
  </si>
  <si>
    <t>ISRAEL</t>
  </si>
  <si>
    <t>ITALIA</t>
  </si>
  <si>
    <t>JAMAICA</t>
  </si>
  <si>
    <t>JAPÓN</t>
  </si>
  <si>
    <t>JORDANIA</t>
  </si>
  <si>
    <t>KENIA</t>
  </si>
  <si>
    <t>KUWAIT</t>
  </si>
  <si>
    <t>LÍBANO</t>
  </si>
  <si>
    <t>LIBIA</t>
  </si>
  <si>
    <t>LUXEMBURGO</t>
  </si>
  <si>
    <t>MALASIA</t>
  </si>
  <si>
    <t>MALTA</t>
  </si>
  <si>
    <t>MARRUECOS</t>
  </si>
  <si>
    <t>MAURITANIA</t>
  </si>
  <si>
    <t>MÉJICO</t>
  </si>
  <si>
    <t>MOZAMBIQUE</t>
  </si>
  <si>
    <t>NICARAGUA</t>
  </si>
  <si>
    <t>NIGERIA</t>
  </si>
  <si>
    <t>NORUEGA</t>
  </si>
  <si>
    <t>NUEVA ZELANDA</t>
  </si>
  <si>
    <t>PAÍSES BAJOS</t>
  </si>
  <si>
    <t>PAKISTÁN</t>
  </si>
  <si>
    <t>PANAMÁ</t>
  </si>
  <si>
    <t>PARAGUAY</t>
  </si>
  <si>
    <t>PERÚ</t>
  </si>
  <si>
    <t>POLONIA</t>
  </si>
  <si>
    <t>PORTUGAL</t>
  </si>
  <si>
    <t>REINO UNIDO</t>
  </si>
  <si>
    <t>REPÚBLICA CHECA</t>
  </si>
  <si>
    <t>RUMANIA</t>
  </si>
  <si>
    <t>RUSIA</t>
  </si>
  <si>
    <t>SENEGAL</t>
  </si>
  <si>
    <t>SINGAPUR</t>
  </si>
  <si>
    <t>SIRIA</t>
  </si>
  <si>
    <t>SUDÁFRICA</t>
  </si>
  <si>
    <t>SUECIA</t>
  </si>
  <si>
    <t>SUIZA</t>
  </si>
  <si>
    <t>TAILANDIA</t>
  </si>
  <si>
    <t>TAIWÁN</t>
  </si>
  <si>
    <t>TANZANIA</t>
  </si>
  <si>
    <t>TÚNEZ</t>
  </si>
  <si>
    <t>TURQUÍA</t>
  </si>
  <si>
    <t>URUGUAY</t>
  </si>
  <si>
    <t>VENEZUELA</t>
  </si>
  <si>
    <t>YEMEN</t>
  </si>
  <si>
    <t>SERBIA Y MONTENEGRO</t>
  </si>
  <si>
    <t>ZAIRE/CONGO</t>
  </si>
  <si>
    <t>ZIMBAWE</t>
  </si>
  <si>
    <t>RESTO DEL MUNDO</t>
  </si>
  <si>
    <t xml:space="preserve">INSTRUCCIONES CUMPLIMENTACIÓN IMPRESO INDEMNIZACIONES POR RAZON DEL SERVICIO (A PAGAR POR LOS CENTROS EDUCATIVOS) </t>
  </si>
  <si>
    <t>Este libro excel contiene tres hojas para introducir datos (anverso, reverso y autoliquidación) y ésta de instrucciones.</t>
  </si>
  <si>
    <t>ANVERSO  (parte horizontal)</t>
  </si>
  <si>
    <t>I:  PROPUESTA Y APROBACIÓN</t>
  </si>
  <si>
    <r>
      <rPr>
        <b/>
        <charset val="1"/>
        <family val="2"/>
        <sz val="10"/>
        <rFont val="Arial"/>
      </rPr>
      <t>Centro</t>
    </r>
    <r>
      <rPr>
        <charset val="1"/>
        <family val="2"/>
        <sz val="10"/>
        <rFont val="Arial"/>
      </rPr>
      <t>: Denominación del Centro</t>
    </r>
  </si>
  <si>
    <r>
      <rPr>
        <b/>
        <charset val="1"/>
        <family val="2"/>
        <sz val="10"/>
        <rFont val="Arial"/>
      </rPr>
      <t>Localidad</t>
    </r>
    <r>
      <rPr>
        <charset val="1"/>
        <family val="2"/>
        <sz val="10"/>
        <rFont val="Arial"/>
      </rPr>
      <t>: Localidad del Centro</t>
    </r>
  </si>
  <si>
    <r>
      <rPr>
        <b/>
        <charset val="1"/>
        <family val="2"/>
        <sz val="10"/>
        <rFont val="Arial"/>
      </rPr>
      <t>Nombre y apellidos</t>
    </r>
    <r>
      <rPr>
        <charset val="1"/>
        <family val="2"/>
        <sz val="10"/>
        <rFont val="Arial"/>
      </rPr>
      <t>: Del Comisionado</t>
    </r>
  </si>
  <si>
    <t xml:space="preserve">Tipo I.R.P.F.(Obligatorio): Porcentaje que, a efectos de retención del I.R.P.F., figura en su última nómina                 </t>
  </si>
  <si>
    <r>
      <rPr>
        <b/>
        <charset val="1"/>
        <family val="2"/>
        <sz val="10"/>
        <rFont val="Arial"/>
      </rPr>
      <t>Cuerpo</t>
    </r>
    <r>
      <rPr>
        <charset val="1"/>
        <family val="2"/>
        <sz val="10"/>
        <rFont val="Arial"/>
      </rPr>
      <t>: Maestro/Profesor/ vigilante, informático, ordenanza...</t>
    </r>
  </si>
  <si>
    <r>
      <rPr>
        <b/>
        <charset val="1"/>
        <family val="2"/>
        <sz val="10"/>
        <rFont val="Arial"/>
      </rPr>
      <t>Grupo</t>
    </r>
    <r>
      <rPr>
        <charset val="1"/>
        <family val="2"/>
        <sz val="10"/>
        <rFont val="Arial"/>
      </rPr>
      <t xml:space="preserve">:  </t>
    </r>
    <r>
      <rPr>
        <b/>
        <charset val="1"/>
        <family val="2"/>
        <sz val="10"/>
        <rFont val="Arial"/>
      </rPr>
      <t>F</t>
    </r>
    <r>
      <rPr>
        <charset val="1"/>
        <family val="2"/>
        <sz val="10"/>
        <rFont val="Arial"/>
      </rPr>
      <t xml:space="preserve">-Funcionario; </t>
    </r>
    <r>
      <rPr>
        <b/>
        <charset val="1"/>
        <family val="2"/>
        <sz val="10"/>
        <rFont val="Arial"/>
      </rPr>
      <t xml:space="preserve"> L</t>
    </r>
    <r>
      <rPr>
        <charset val="1"/>
        <family val="2"/>
        <sz val="10"/>
        <rFont val="Arial"/>
      </rPr>
      <t>-Laboral</t>
    </r>
  </si>
  <si>
    <t xml:space="preserve">   </t>
  </si>
  <si>
    <r>
      <rPr>
        <b/>
        <charset val="1"/>
        <family val="2"/>
        <sz val="10"/>
        <rFont val="Arial"/>
      </rPr>
      <t>NIF</t>
    </r>
    <r>
      <rPr>
        <charset val="1"/>
        <family val="2"/>
        <sz val="10"/>
        <rFont val="Arial"/>
      </rPr>
      <t>: Escribir los 8 dígitos y la letra</t>
    </r>
  </si>
  <si>
    <r>
      <rPr>
        <b/>
        <charset val="1"/>
        <family val="2"/>
        <sz val="10"/>
        <rFont val="Arial"/>
      </rPr>
      <t>Programas de gasto</t>
    </r>
    <r>
      <rPr>
        <charset val="1"/>
        <family val="2"/>
        <sz val="10"/>
        <rFont val="Arial"/>
      </rPr>
      <t>: Consignar el programa correspondiente</t>
    </r>
  </si>
  <si>
    <r>
      <rPr>
        <b/>
        <charset val="1"/>
        <family val="2"/>
        <sz val="9"/>
        <rFont val="Arial"/>
      </rPr>
      <t xml:space="preserve">                             221-B</t>
    </r>
    <r>
      <rPr>
        <charset val="1"/>
        <family val="2"/>
        <sz val="9"/>
        <rFont val="Arial"/>
      </rPr>
      <t xml:space="preserve">: C.P.R.     </t>
    </r>
  </si>
  <si>
    <r>
      <rPr>
        <charset val="1"/>
        <family val="2"/>
        <sz val="9"/>
        <rFont val="Arial"/>
      </rPr>
      <t xml:space="preserve">                             </t>
    </r>
    <r>
      <rPr>
        <b/>
        <charset val="1"/>
        <family val="2"/>
        <sz val="9"/>
        <rFont val="Arial"/>
      </rPr>
      <t>222-A</t>
    </r>
    <r>
      <rPr>
        <charset val="1"/>
        <family val="2"/>
        <sz val="9"/>
        <rFont val="Arial"/>
      </rPr>
      <t>: COL.PUBLICOS, CRAS</t>
    </r>
  </si>
  <si>
    <r>
      <rPr>
        <charset val="1"/>
        <family val="2"/>
        <sz val="9"/>
        <rFont val="Arial"/>
      </rPr>
      <t xml:space="preserve">                           </t>
    </r>
    <r>
      <rPr>
        <b/>
        <charset val="1"/>
        <family val="2"/>
        <sz val="9"/>
        <rFont val="Arial"/>
      </rPr>
      <t xml:space="preserve">  222-B</t>
    </r>
    <r>
      <rPr>
        <charset val="1"/>
        <family val="2"/>
        <sz val="9"/>
        <rFont val="Arial"/>
      </rPr>
      <t>: IES, IESOS</t>
    </r>
  </si>
  <si>
    <r>
      <rPr>
        <b/>
        <charset val="1"/>
        <family val="2"/>
        <sz val="9"/>
        <rFont val="Arial"/>
      </rPr>
      <t xml:space="preserve">                             222-C</t>
    </r>
    <r>
      <rPr>
        <charset val="1"/>
        <family val="2"/>
        <sz val="9"/>
        <rFont val="Arial"/>
      </rPr>
      <t>: E O I, CONSERVATORIO, EOEP</t>
    </r>
  </si>
  <si>
    <r>
      <rPr>
        <charset val="1"/>
        <family val="2"/>
        <sz val="9"/>
        <rFont val="Arial"/>
      </rPr>
      <t xml:space="preserve">                            </t>
    </r>
    <r>
      <rPr>
        <b/>
        <charset val="1"/>
        <family val="2"/>
        <sz val="9"/>
        <rFont val="Arial"/>
      </rPr>
      <t xml:space="preserve"> 222-E</t>
    </r>
    <r>
      <rPr>
        <charset val="1"/>
        <family val="2"/>
        <sz val="9"/>
        <rFont val="Arial"/>
      </rPr>
      <t>: ADULTOS</t>
    </r>
  </si>
  <si>
    <r>
      <rPr>
        <b/>
        <charset val="1"/>
        <family val="2"/>
        <sz val="10"/>
        <rFont val="Arial"/>
      </rPr>
      <t>SALIDA</t>
    </r>
    <r>
      <rPr>
        <charset val="1"/>
        <family val="2"/>
        <sz val="10"/>
        <rFont val="Arial"/>
      </rPr>
      <t>: Hora (hh,mm), día y mes de inicio de la comisión</t>
    </r>
  </si>
  <si>
    <r>
      <rPr>
        <b/>
        <charset val="1"/>
        <family val="2"/>
        <sz val="10"/>
        <rFont val="Arial"/>
      </rPr>
      <t>REGRESO</t>
    </r>
    <r>
      <rPr>
        <charset val="1"/>
        <family val="2"/>
        <sz val="10"/>
        <rFont val="Arial"/>
      </rPr>
      <t xml:space="preserve">: En estas celdas figurarán los datos relativos al FIN DE LA COMISIÓN, consignando en una “X” </t>
    </r>
  </si>
  <si>
    <r>
      <rPr>
        <charset val="1"/>
        <family val="2"/>
        <sz val="10"/>
        <rFont val="Arial"/>
      </rPr>
      <t>(según se estime a las</t>
    </r>
    <r>
      <rPr>
        <b/>
        <charset val="1"/>
        <family val="2"/>
        <sz val="10"/>
        <rFont val="Arial"/>
      </rPr>
      <t xml:space="preserve"> 16,00h , o a las 14,00h si hubo alojamiento previo</t>
    </r>
    <r>
      <rPr>
        <charset val="1"/>
        <sz val="10"/>
        <rFont val="Arial"/>
      </rPr>
      <t>)</t>
    </r>
  </si>
  <si>
    <t xml:space="preserve"> </t>
  </si>
  <si>
    <r>
      <rPr>
        <b/>
        <charset val="1"/>
        <family val="2"/>
        <sz val="10"/>
        <rFont val="Arial"/>
      </rPr>
      <t>LOCALIDAD</t>
    </r>
    <r>
      <rPr>
        <charset val="1"/>
        <family val="2"/>
        <sz val="10"/>
        <rFont val="Arial"/>
      </rPr>
      <t>: Localidad o localidades a donde se va a realizar la comisión</t>
    </r>
  </si>
  <si>
    <r>
      <rPr>
        <b/>
        <charset val="1"/>
        <family val="2"/>
        <sz val="10"/>
        <rFont val="Arial"/>
      </rPr>
      <t>Medio transporte a utilizar</t>
    </r>
    <r>
      <rPr>
        <charset val="1"/>
        <family val="2"/>
        <sz val="10"/>
        <rFont val="Arial"/>
      </rPr>
      <t>: Consignar vehículo propio o el medio de transporte que va a utilizarse</t>
    </r>
  </si>
  <si>
    <r>
      <rPr>
        <b/>
        <charset val="1"/>
        <family val="2"/>
        <sz val="10"/>
        <rFont val="Arial"/>
      </rPr>
      <t>OBJETO DE LA COMISIÓN</t>
    </r>
    <r>
      <rPr>
        <charset val="1"/>
        <family val="2"/>
        <sz val="10"/>
        <rFont val="Arial"/>
      </rPr>
      <t>: Consignar de forma escueta el objeto del viaje o comisión</t>
    </r>
  </si>
  <si>
    <r>
      <rPr>
        <b/>
        <charset val="1"/>
        <family val="2"/>
        <sz val="10"/>
        <rFont val="Arial"/>
      </rPr>
      <t>FECHA Y FIRMA DEL DIRECTOR DEL CENTRO:</t>
    </r>
    <r>
      <rPr>
        <charset val="1"/>
        <family val="2"/>
        <sz val="10"/>
        <rFont val="Arial"/>
      </rPr>
      <t xml:space="preserve"> </t>
    </r>
    <r>
      <rPr>
        <charset val="1"/>
        <color rgb="FFFF0000"/>
        <family val="2"/>
        <sz val="10"/>
        <rFont val="Arial"/>
      </rPr>
      <t>La fecha de la propuesta debe ser igual o anterior a la del primer viaje propuesto</t>
    </r>
    <r>
      <rPr>
        <charset val="1"/>
        <family val="2"/>
        <sz val="10"/>
        <rFont val="Arial"/>
      </rPr>
      <t>.</t>
    </r>
  </si>
  <si>
    <t>III:  CERTIFICADO REALIZACIÓN DE LA COMISIÓN</t>
  </si>
  <si>
    <t xml:space="preserve">Nombre y firma de la autoridad que en su día propuso la comisión y ahora certifica que fue realizada(Director/a del Centro). </t>
  </si>
  <si>
    <t>La fecha de la certificación debe ser igual o posterior a la del último viaje de cada impreso</t>
  </si>
  <si>
    <t>REVERSO  (parte vertical)</t>
  </si>
  <si>
    <t>II: DECLARACIÓN DEL INTERESADO</t>
  </si>
  <si>
    <r>
      <rPr>
        <charset val="1"/>
        <sz val="10"/>
        <rFont val="Arial"/>
      </rPr>
      <t>El medio de locomoción utilizado coincidirá con el que figura en el apartado “I-   PROPUESTA”.</t>
    </r>
    <r>
      <rPr>
        <b/>
        <charset val="1"/>
        <family val="2"/>
        <sz val="10"/>
        <rFont val="Arial"/>
      </rPr>
      <t xml:space="preserve"> La </t>
    </r>
    <r>
      <rPr>
        <b/>
        <charset val="1"/>
        <color rgb="FFFF0000"/>
        <family val="2"/>
        <sz val="10"/>
        <rFont val="Arial"/>
      </rPr>
      <t>matrícula del vehículo</t>
    </r>
    <r>
      <rPr>
        <charset val="1"/>
        <family val="2"/>
        <sz val="10"/>
        <rFont val="Arial"/>
      </rPr>
      <t xml:space="preserve"> debe consignarse obligatoriamente</t>
    </r>
  </si>
  <si>
    <r>
      <rPr>
        <b/>
        <charset val="1"/>
        <family val="2"/>
        <sz val="10"/>
        <rFont val="Arial"/>
      </rPr>
      <t>REGRESO</t>
    </r>
    <r>
      <rPr>
        <charset val="1"/>
        <family val="2"/>
        <sz val="10"/>
        <rFont val="Arial"/>
      </rPr>
      <t>: Hora (hh,mm), día y mes de regreso a la localidad de partida</t>
    </r>
  </si>
  <si>
    <r>
      <rPr>
        <b/>
        <charset val="1"/>
        <family val="2"/>
        <sz val="10"/>
        <rFont val="Arial"/>
      </rPr>
      <t>ITINERARIO REALIZADO</t>
    </r>
    <r>
      <rPr>
        <charset val="1"/>
        <family val="2"/>
        <sz val="10"/>
        <rFont val="Arial"/>
      </rPr>
      <t>: Localidad de origen-Localidad/localidades a donde se realiza la comisión-Localidad de origen</t>
    </r>
  </si>
  <si>
    <r>
      <rPr>
        <b/>
        <charset val="1"/>
        <family val="2"/>
        <sz val="10"/>
        <rFont val="Arial"/>
      </rPr>
      <t>Nº Kms</t>
    </r>
    <r>
      <rPr>
        <charset val="1"/>
        <family val="2"/>
        <sz val="10"/>
        <rFont val="Arial"/>
      </rPr>
      <t>.: Número de kilómetros de cada itinerario realizado</t>
    </r>
    <r>
      <rPr>
        <b/>
        <charset val="1"/>
        <family val="2"/>
        <sz val="10"/>
        <rFont val="Arial"/>
      </rPr>
      <t>. No use decimales, redondee al alza.</t>
    </r>
  </si>
  <si>
    <r>
      <rPr>
        <b/>
        <charset val="1"/>
        <family val="2"/>
        <sz val="10"/>
        <rFont val="Arial"/>
      </rPr>
      <t>EL COMISIONADO</t>
    </r>
    <r>
      <rPr>
        <charset val="1"/>
        <family val="2"/>
        <sz val="10"/>
        <rFont val="Arial"/>
      </rPr>
      <t>: Nombre y firma del declarante. La localidad de la declaración será la del Centro de destino. (o domicilio si es más cercano al lugar desplazado en comisión)</t>
    </r>
  </si>
  <si>
    <t>La fecha de la declaración debe ser igual o posterior a la del último viaje de cada impreso</t>
  </si>
  <si>
    <t>IV: LIQUIDACIÓN DE LA COMISIÓN</t>
  </si>
  <si>
    <r>
      <rPr>
        <charset val="1"/>
        <family val="2"/>
        <sz val="10"/>
        <rFont val="Arial"/>
      </rPr>
      <t xml:space="preserve">A diligenciar por el órgano que efectúa el pago: </t>
    </r>
    <r>
      <rPr>
        <b/>
        <charset val="1"/>
        <color rgb="FFFF0000"/>
        <family val="2"/>
        <sz val="10"/>
        <rFont val="Arial"/>
      </rPr>
      <t xml:space="preserve">El Director del centro es el responsable </t>
    </r>
    <r>
      <rPr>
        <charset val="1"/>
        <family val="2"/>
        <sz val="10"/>
        <rFont val="Arial"/>
      </rPr>
      <t>de comprobar que los datos de kilometraje y dietas son los correctos.</t>
    </r>
  </si>
  <si>
    <t>En el caso que el interesado realice la Autoliquidación, los cálculos de ésta, se trasladan automáticamente a la Liquidación, pero eso no implica que sea correcta.</t>
  </si>
  <si>
    <t>AUTOLIQUIDACION</t>
  </si>
  <si>
    <t>Únicamente a efectos de información del interesado.</t>
  </si>
  <si>
    <t xml:space="preserve">El Director del centro es el responsable de liquidar una vez comprobado que </t>
  </si>
  <si>
    <t>los datos de kilometraje, dietas, alojamiento... son justificados.</t>
  </si>
  <si>
    <t>y debe realizar la liquidación correctamente.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</si>
</sst>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;[RED]#,##0;#"/>
    <numFmt numFmtId="165" formatCode="&quot;a &quot;d&quot; de &quot;mmmm&quot; de &quot;yyyy"/>
    <numFmt numFmtId="166" formatCode="d&quot; de &quot;mmmm&quot; de &quot;yyyy"/>
    <numFmt numFmtId="167" formatCode="#,##0.00;[RED]#,##0.00;#"/>
    <numFmt numFmtId="168" formatCode="0;[RED]0"/>
    <numFmt numFmtId="169" formatCode="#,##0.00&quot; €&quot;;[RED]#,##0.00&quot; €&quot;;#"/>
    <numFmt numFmtId="170" formatCode="#,##0.00&quot; €&quot;"/>
    <numFmt numFmtId="171" formatCode="#,##0.00&quot; %&quot;"/>
  </numFmts>
  <fonts count="27" x14ac:knownFonts="1">
    <font>
      <color theme="1"/>
      <family val="2"/>
      <scheme val="minor"/>
      <sz val="11"/>
      <name val="Calibri"/>
    </font>
    <font>
      <charset val="1"/>
      <sz val="10"/>
      <name val="Arial"/>
    </font>
    <font>
      <b/>
      <u/>
      <charset val="1"/>
      <family val="2"/>
      <sz val="10"/>
      <name val="Arial"/>
    </font>
    <font>
      <b/>
      <charset val="1"/>
      <family val="2"/>
      <sz val="10"/>
      <name val="Arial"/>
    </font>
    <font>
      <charset val="1"/>
      <family val="2"/>
      <sz val="10"/>
      <name val="Arial"/>
    </font>
    <font>
      <charset val="1"/>
      <family val="2"/>
      <sz val="12"/>
      <name val="Arial"/>
    </font>
    <font>
      <charset val="1"/>
      <family val="2"/>
      <sz val="8"/>
      <name val="Arial"/>
    </font>
    <font>
      <u/>
      <charset val="1"/>
      <family val="2"/>
      <sz val="10"/>
      <name val="Arial"/>
    </font>
    <font>
      <charset val="1"/>
      <family val="2"/>
      <sz val="9"/>
      <name val="Arial"/>
    </font>
    <font>
      <b/>
      <charset val="1"/>
      <family val="2"/>
      <sz val="8"/>
      <name val="Arial"/>
    </font>
    <font>
      <b/>
      <charset val="1"/>
      <family val="2"/>
      <sz val="9"/>
      <name val="Arial"/>
    </font>
    <font>
      <charset val="1"/>
      <family val="2"/>
      <sz val="6"/>
      <name val="Arial"/>
    </font>
    <font>
      <b/>
      <charset val="1"/>
      <family val="2"/>
      <sz val="12"/>
      <name val="Arial"/>
    </font>
    <font>
      <charset val="1"/>
      <family val="2"/>
      <sz val="7"/>
      <name val="Arial"/>
    </font>
    <font>
      <b/>
      <charset val="1"/>
      <color rgb="FF000000"/>
      <family val="1"/>
      <sz val="12"/>
      <name val="Times New Roman"/>
    </font>
    <font>
      <charset val="1"/>
      <family val="1"/>
      <sz val="10"/>
      <name val="Times New Roman"/>
    </font>
    <font>
      <b/>
      <charset val="1"/>
      <family val="1"/>
      <sz val="10"/>
      <name val="Times New Roman"/>
    </font>
    <font>
      <charset val="1"/>
      <family val="1"/>
      <sz val="12"/>
      <name val="Times New Roman"/>
    </font>
    <font>
      <b/>
      <i/>
      <charset val="1"/>
      <family val="1"/>
      <sz val="12"/>
      <name val="Times New Roman"/>
    </font>
    <font>
      <b/>
      <charset val="1"/>
      <family val="1"/>
      <sz val="12"/>
      <name val="Times New Roman"/>
    </font>
    <font>
      <b/>
      <charset val="1"/>
      <family val="1"/>
      <sz val="14"/>
      <name val="Times New Roman"/>
    </font>
    <font>
      <b/>
      <charset val="1"/>
      <family val="1"/>
      <sz val="9"/>
      <name val="Times New Roman"/>
    </font>
    <font>
      <b/>
      <charset val="1"/>
      <family val="1"/>
      <sz val="16"/>
      <name val="Times New Roman"/>
    </font>
    <font>
      <b/>
      <charset val="1"/>
      <color rgb="FF000000"/>
      <family val="2"/>
      <sz val="11"/>
      <name val="Aptos"/>
    </font>
    <font>
      <charset val="1"/>
      <color rgb="FF000000"/>
      <family val="2"/>
      <sz val="11"/>
      <name val="Aptos"/>
    </font>
    <font>
      <charset val="1"/>
      <color rgb="FFFF0000"/>
      <family val="2"/>
      <sz val="10"/>
      <name val="Arial"/>
    </font>
    <font>
      <b/>
      <charset val="1"/>
      <color rgb="FF00B050"/>
      <family val="2"/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EBEAEA"/>
      </patternFill>
    </fill>
    <fill>
      <patternFill patternType="solid">
        <fgColor rgb="FFC0C0C0"/>
        <bgColor rgb="FFD0CECE"/>
      </patternFill>
    </fill>
    <fill>
      <patternFill patternType="solid">
        <fgColor rgb="FFD0CECE"/>
        <bgColor rgb="FFC0C0C0"/>
      </patternFill>
    </fill>
    <fill>
      <patternFill patternType="solid">
        <fgColor rgb="FFEBEAEA"/>
        <bgColor rgb="FFFFFFFF"/>
      </patternFill>
    </fill>
    <fill>
      <patternFill patternType="solid">
        <fgColor rgb="FFFFFF00"/>
        <bgColor rgb="FFFFFF00"/>
      </patternFill>
    </fill>
  </fills>
  <borders count="105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double"/>
      <diagonal/>
    </border>
    <border>
      <left style="double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thin"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double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double"/>
      <right style="thin"/>
      <top style="thin"/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 style="double"/>
      <top style="thin"/>
      <bottom/>
      <diagonal/>
    </border>
    <border>
      <left style="thin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thin"/>
      <right style="double"/>
      <top style="hair"/>
      <bottom style="hair"/>
      <diagonal/>
    </border>
    <border>
      <left style="double"/>
      <right style="thin"/>
      <top style="hair"/>
      <bottom style="hair"/>
      <diagonal/>
    </border>
    <border>
      <left style="double"/>
      <right style="thin"/>
      <top style="hair"/>
      <bottom style="double"/>
      <diagonal/>
    </border>
    <border>
      <left style="thin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thin"/>
      <right style="double"/>
      <top style="hair"/>
      <bottom style="double"/>
      <diagonal/>
    </border>
    <border>
      <left style="thin"/>
      <right style="thin"/>
      <top style="double"/>
      <bottom style="medium"/>
      <diagonal/>
    </border>
    <border>
      <left style="thin"/>
      <right style="double"/>
      <top style="double"/>
      <bottom style="medium"/>
      <diagonal/>
    </border>
    <border>
      <left style="double"/>
      <right style="thin"/>
      <top style="thin"/>
      <bottom style="medium"/>
      <diagonal/>
    </border>
    <border>
      <left/>
      <right style="thin"/>
      <top style="thin"/>
      <bottom style="medium"/>
      <diagonal/>
    </border>
    <border>
      <left/>
      <right style="thin"/>
      <top/>
      <bottom style="medium"/>
      <diagonal/>
    </border>
    <border>
      <left style="double"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/>
      <right style="thin"/>
      <top/>
      <bottom style="hair"/>
      <diagonal/>
    </border>
    <border>
      <left/>
      <right style="double"/>
      <top/>
      <bottom style="hair"/>
      <diagonal/>
    </border>
    <border>
      <left/>
      <right style="thin"/>
      <top style="hair"/>
      <bottom style="hair"/>
      <diagonal/>
    </border>
    <border>
      <left/>
      <right style="double"/>
      <top style="hair"/>
      <bottom style="hair"/>
      <diagonal/>
    </border>
    <border>
      <left/>
      <right style="thin"/>
      <top style="hair"/>
      <bottom style="medium"/>
      <diagonal/>
    </border>
    <border>
      <left/>
      <right style="double"/>
      <top style="hair"/>
      <bottom style="medium"/>
      <diagonal/>
    </border>
    <border>
      <left style="double"/>
      <right style="thin"/>
      <top style="medium"/>
      <bottom style="double"/>
      <diagonal/>
    </border>
    <border>
      <left style="thin"/>
      <right style="hair"/>
      <top style="medium"/>
      <bottom style="double"/>
      <diagonal/>
    </border>
    <border>
      <left style="hair"/>
      <right style="hair"/>
      <top style="medium"/>
      <bottom style="double"/>
      <diagonal/>
    </border>
    <border>
      <left style="hair"/>
      <right style="double"/>
      <top style="medium"/>
      <bottom style="double"/>
      <diagonal/>
    </border>
    <border>
      <left/>
      <right/>
      <top style="double"/>
      <bottom/>
      <diagonal/>
    </border>
    <border>
      <left/>
      <right/>
      <top style="double"/>
      <bottom style="thin"/>
      <diagonal/>
    </border>
    <border>
      <left style="double"/>
      <right/>
      <top style="double"/>
      <bottom/>
      <diagonal/>
    </border>
    <border>
      <left/>
      <right style="double"/>
      <top style="double"/>
      <bottom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medium"/>
      <right/>
      <top style="medium"/>
      <bottom style="double"/>
      <diagonal/>
    </border>
    <border>
      <left/>
      <right/>
      <top style="medium"/>
      <bottom style="double"/>
      <diagonal/>
    </border>
    <border>
      <left/>
      <right style="double"/>
      <top style="medium"/>
      <bottom style="double"/>
      <diagonal/>
    </border>
    <border>
      <left style="double"/>
      <right style="thin"/>
      <top style="double"/>
      <bottom style="medium"/>
      <diagonal/>
    </border>
    <border>
      <left/>
      <right style="thin"/>
      <top style="double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double"/>
      <top style="thin"/>
      <bottom style="medium"/>
      <diagonal/>
    </border>
    <border>
      <left style="double"/>
      <right style="thin"/>
      <top/>
      <bottom style="thin"/>
      <diagonal/>
    </border>
    <border>
      <left style="thin"/>
      <right style="hair"/>
      <top style="medium"/>
      <bottom style="hair"/>
      <diagonal/>
    </border>
    <border>
      <left style="hair"/>
      <right style="hair"/>
      <top style="medium"/>
      <bottom style="hair"/>
      <diagonal/>
    </border>
    <border>
      <left style="hair"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hair"/>
      <top style="hair"/>
      <bottom style="medium"/>
      <diagonal/>
    </border>
    <border>
      <left style="hair"/>
      <right/>
      <top style="hair"/>
      <bottom style="hair"/>
      <diagonal/>
    </border>
    <border>
      <left style="hair"/>
      <right style="hair"/>
      <top style="hair"/>
      <bottom style="medium"/>
      <diagonal/>
    </border>
    <border>
      <left style="hair"/>
      <right/>
      <top style="hair"/>
      <bottom/>
      <diagonal/>
    </border>
    <border>
      <left style="double"/>
      <right/>
      <top style="medium"/>
      <bottom style="double"/>
      <diagonal/>
    </border>
    <border>
      <left style="medium"/>
      <right style="thin"/>
      <top style="medium"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double"/>
      <top style="medium"/>
      <bottom style="double"/>
      <diagonal/>
    </border>
    <border>
      <left style="thin"/>
      <right style="double"/>
      <top style="double"/>
      <bottom/>
      <diagonal/>
    </border>
    <border>
      <left style="medium"/>
      <right style="medium"/>
      <top style="medium"/>
      <bottom style="medium"/>
      <diagonal/>
    </border>
    <border>
      <left/>
      <right style="thin"/>
      <top/>
      <bottom/>
      <diagonal/>
    </border>
    <border>
      <left style="thin"/>
      <right style="double"/>
      <top/>
      <bottom/>
      <diagonal/>
    </border>
    <border>
      <left style="double"/>
      <right/>
      <top/>
      <bottom style="double"/>
      <diagonal/>
    </border>
    <border>
      <left/>
      <right style="thin"/>
      <top/>
      <bottom style="double"/>
      <diagonal/>
    </border>
    <border>
      <left style="thin"/>
      <right style="double"/>
      <top/>
      <bottom style="double"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/>
      <right/>
      <top style="thick"/>
      <bottom/>
      <diagonal/>
    </border>
    <border>
      <left/>
      <right/>
      <top style="thick"/>
      <bottom style="double"/>
      <diagonal/>
    </border>
    <border>
      <left/>
      <right style="thick"/>
      <top style="thick"/>
      <bottom style="double"/>
      <diagonal/>
    </border>
    <border>
      <left style="thick"/>
      <right style="thin"/>
      <top style="thin"/>
      <bottom style="thin"/>
      <diagonal/>
    </border>
    <border>
      <left style="thin"/>
      <right style="thick"/>
      <top style="double"/>
      <bottom style="thin"/>
      <diagonal/>
    </border>
    <border>
      <left style="thick"/>
      <right/>
      <top style="thin"/>
      <bottom/>
      <diagonal/>
    </border>
    <border>
      <left style="thin"/>
      <right style="thick"/>
      <top style="thin"/>
      <bottom style="thin"/>
      <diagonal/>
    </border>
    <border>
      <left style="thick"/>
      <right/>
      <top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ck"/>
      <right style="thin"/>
      <top/>
      <bottom/>
      <diagonal/>
    </border>
    <border>
      <left/>
      <right style="thick"/>
      <top/>
      <bottom/>
      <diagonal/>
    </border>
    <border>
      <left style="thick"/>
      <right style="thin"/>
      <top style="double"/>
      <bottom style="thin"/>
      <diagonal/>
    </border>
    <border>
      <left style="thin"/>
      <right style="thick"/>
      <top/>
      <bottom style="thin"/>
      <diagonal/>
    </border>
    <border>
      <left style="thick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ck"/>
      <right style="thin"/>
      <top style="thin"/>
      <bottom/>
      <diagonal/>
    </border>
    <border>
      <left style="thick"/>
      <right/>
      <top/>
      <bottom style="double"/>
      <diagonal/>
    </border>
    <border>
      <left/>
      <right style="thick"/>
      <top/>
      <bottom style="double"/>
      <diagonal/>
    </border>
    <border>
      <left style="thick"/>
      <right/>
      <top/>
      <bottom style="thick"/>
      <diagonal/>
    </border>
    <border>
      <left/>
      <right style="thick"/>
      <top/>
      <bottom style="thick"/>
      <diagonal/>
    </border>
    <border>
      <left style="medium">
        <color rgb="FFA0B0C0"/>
      </left>
      <right style="medium">
        <color rgb="FFA0B0C0"/>
      </right>
      <top style="medium">
        <color rgb="FFA0B0C0"/>
      </top>
      <bottom/>
      <diagonal/>
    </border>
    <border>
      <left style="medium">
        <color rgb="FFA0B0C0"/>
      </left>
      <right style="medium">
        <color rgb="FFA0B0C0"/>
      </right>
      <top/>
      <bottom style="medium">
        <color rgb="FFA0B0C0"/>
      </bottom>
      <diagonal/>
    </border>
    <border>
      <left/>
      <right style="medium">
        <color rgb="FFA0B0C0"/>
      </right>
      <top/>
      <bottom style="medium">
        <color rgb="FFA0B0C0"/>
      </bottom>
      <diagonal/>
    </border>
  </borders>
  <cellStyleXfs count="1">
    <xf numFmtId="0" fontId="0" fillId="0" borderId="0"/>
  </cellStyleXfs>
  <cellXfs count="278">
    <xf numFmtId="0" fontId="0" fillId="0" borderId="0" xfId="0"/>
    <xf numFmtId="164" fontId="1" fillId="2" borderId="0" xfId="0" applyNumberFormat="1" applyFont="1" applyFill="1" applyAlignment="1">
      <alignment vertical="bottom"/>
    </xf>
    <xf numFmtId="0" fontId="1" fillId="0" borderId="0" xfId="0" applyFont="1" applyAlignment="1">
      <alignment horizontal="left" vertical="bottom"/>
    </xf>
    <xf numFmtId="0" fontId="1" fillId="0" borderId="1" xfId="0" applyFont="1" applyBorder="1" applyAlignment="1">
      <alignment horizontal="left" vertical="bottom"/>
    </xf>
    <xf numFmtId="164" fontId="2" fillId="2" borderId="0" xfId="0" applyNumberFormat="1" applyFont="1" applyFill="1" applyAlignment="1">
      <alignment horizontal="left" vertical="bottom"/>
    </xf>
    <xf numFmtId="164" fontId="3" fillId="2" borderId="0" xfId="0" applyNumberFormat="1" applyFont="1" applyFill="1" applyAlignment="1">
      <alignment vertical="bottom"/>
    </xf>
    <xf numFmtId="164" fontId="1" fillId="0" borderId="0" xfId="0" applyNumberFormat="1" applyFont="1" applyAlignment="1">
      <alignment horizontal="left" vertical="bottom"/>
    </xf>
    <xf numFmtId="164" fontId="4" fillId="0" borderId="1" xfId="0" applyNumberFormat="1" applyFont="1" applyBorder="1" applyAlignment="1">
      <alignment horizontal="left" vertical="bottom"/>
    </xf>
    <xf numFmtId="164" fontId="5" fillId="2" borderId="1" xfId="0" applyNumberFormat="1" applyFont="1" applyFill="1" applyBorder="1" applyAlignment="1">
      <alignment horizontal="left" vertical="bottom"/>
    </xf>
    <xf numFmtId="2" fontId="3" fillId="0" borderId="1" xfId="0" applyNumberFormat="1" applyFont="1" applyBorder="1" applyAlignment="1">
      <alignment horizontal="center" vertical="bottom"/>
    </xf>
    <xf numFmtId="2" fontId="3" fillId="0" borderId="1" xfId="0" applyNumberFormat="1" applyFont="1" applyBorder="1" applyAlignment="1">
      <alignment horizontal="left" vertical="bottom"/>
    </xf>
    <xf numFmtId="164" fontId="6" fillId="2" borderId="0" xfId="0" applyNumberFormat="1" applyFont="1" applyFill="1" applyAlignment="1">
      <alignment vertical="bottom"/>
    </xf>
    <xf numFmtId="164" fontId="6" fillId="2" borderId="0" xfId="0" applyNumberFormat="1" applyFont="1" applyFill="1" applyAlignment="1">
      <alignment horizontal="center" vertical="bottom"/>
    </xf>
    <xf numFmtId="164" fontId="1" fillId="2" borderId="2" xfId="0" applyNumberFormat="1" applyFont="1" applyFill="1" applyBorder="1" applyAlignment="1">
      <alignment horizontal="center" vertical="bottom"/>
    </xf>
    <xf numFmtId="164" fontId="1" fillId="2" borderId="0" xfId="0" applyNumberFormat="1" applyFont="1" applyFill="1" applyAlignment="1">
      <alignment horizontal="right" vertical="bottom"/>
    </xf>
    <xf numFmtId="164" fontId="4" fillId="0" borderId="2" xfId="0" applyNumberFormat="1" applyFont="1" applyBorder="1" applyAlignment="1">
      <alignment horizontal="center" vertical="bottom"/>
    </xf>
    <xf numFmtId="164" fontId="1" fillId="2" borderId="3" xfId="0" applyNumberFormat="1" applyFont="1" applyFill="1" applyBorder="1" applyAlignment="1">
      <alignment horizontal="right" vertical="bottom"/>
    </xf>
    <xf numFmtId="0" fontId="1" fillId="0" borderId="2" xfId="0" applyFont="1" applyBorder="1" applyAlignment="1">
      <alignment horizontal="center" vertical="bottom"/>
    </xf>
    <xf numFmtId="164" fontId="2" fillId="2" borderId="0" xfId="0" applyNumberFormat="1" applyFont="1" applyFill="1" applyAlignment="1">
      <alignment vertical="top"/>
    </xf>
    <xf numFmtId="164" fontId="2" fillId="2" borderId="0" xfId="0" applyNumberFormat="1" applyFont="1" applyFill="1" applyAlignment="1">
      <alignment vertical="bottom"/>
    </xf>
    <xf numFmtId="0" fontId="7" fillId="2" borderId="0" xfId="0" applyFont="1" applyFill="1" applyAlignment="1">
      <alignment horizontal="center" vertical="bottom"/>
    </xf>
    <xf numFmtId="0" fontId="4" fillId="2" borderId="1" xfId="0" applyFont="1" applyFill="1" applyBorder="1" applyAlignment="1">
      <alignment horizontal="center" vertical="bottom"/>
    </xf>
    <xf numFmtId="0" fontId="1" fillId="2" borderId="0" xfId="0" applyFont="1" applyFill="1" applyAlignment="1">
      <alignment vertical="bottom"/>
    </xf>
    <xf numFmtId="164" fontId="8" fillId="2" borderId="0" xfId="0" applyNumberFormat="1" applyFont="1" applyFill="1" applyAlignment="1">
      <alignment horizontal="left" vertical="bottom"/>
    </xf>
    <xf numFmtId="164" fontId="8" fillId="2" borderId="4" xfId="0" applyNumberFormat="1" applyFont="1" applyFill="1" applyBorder="1" applyAlignment="1">
      <alignment horizontal="left" vertical="top"/>
    </xf>
    <xf numFmtId="164" fontId="1" fillId="0" borderId="5" xfId="0" applyNumberFormat="1" applyFont="1" applyBorder="1" applyAlignment="1">
      <alignment horizontal="center" vertical="bottom"/>
    </xf>
    <xf numFmtId="164" fontId="1" fillId="0" borderId="6" xfId="0" applyNumberFormat="1" applyFont="1" applyBorder="1" applyAlignment="1">
      <alignment horizontal="center" vertical="bottom"/>
    </xf>
    <xf numFmtId="164" fontId="1" fillId="0" borderId="7" xfId="0" applyNumberFormat="1" applyFont="1" applyBorder="1" applyAlignment="1">
      <alignment horizontal="center" vertical="bottom"/>
    </xf>
    <xf numFmtId="164" fontId="1" fillId="0" borderId="8" xfId="0" applyNumberFormat="1" applyFont="1" applyBorder="1" applyAlignment="1">
      <alignment horizontal="center" vertical="bottom"/>
    </xf>
    <xf numFmtId="164" fontId="4" fillId="0" borderId="9" xfId="0" applyNumberFormat="1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bottom"/>
    </xf>
    <xf numFmtId="164" fontId="6" fillId="0" borderId="12" xfId="0" applyNumberFormat="1" applyFont="1" applyBorder="1" applyAlignment="1">
      <alignment horizontal="center" vertical="bottom"/>
    </xf>
    <xf numFmtId="164" fontId="6" fillId="0" borderId="11" xfId="0" applyNumberFormat="1" applyFont="1" applyBorder="1" applyAlignment="1">
      <alignment horizontal="center" vertical="bottom"/>
    </xf>
    <xf numFmtId="164" fontId="1" fillId="0" borderId="13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bottom"/>
    </xf>
    <xf numFmtId="2" fontId="6" fillId="2" borderId="14" xfId="0" applyNumberFormat="1" applyFont="1" applyFill="1" applyBorder="1" applyAlignment="1">
      <alignment horizontal="center" vertical="bottom"/>
    </xf>
    <xf numFmtId="164" fontId="6" fillId="2" borderId="15" xfId="0" applyNumberFormat="1" applyFont="1" applyFill="1" applyBorder="1" applyAlignment="1">
      <alignment horizontal="center" vertical="bottom"/>
    </xf>
    <xf numFmtId="0" fontId="6" fillId="2" borderId="15" xfId="0" applyFont="1" applyFill="1" applyBorder="1" applyAlignment="1">
      <alignment horizontal="center" vertical="bottom"/>
    </xf>
    <xf numFmtId="1" fontId="6" fillId="2" borderId="15" xfId="0" applyNumberFormat="1" applyFont="1" applyFill="1" applyBorder="1" applyAlignment="1">
      <alignment horizontal="center" vertical="bottom"/>
    </xf>
    <xf numFmtId="1" fontId="6" fillId="2" borderId="16" xfId="0" applyNumberFormat="1" applyFont="1" applyFill="1" applyBorder="1" applyAlignment="1">
      <alignment horizontal="center" vertical="bottom"/>
    </xf>
    <xf numFmtId="49" fontId="4" fillId="2" borderId="16" xfId="0" applyNumberFormat="1" applyFont="1" applyFill="1" applyBorder="1" applyAlignment="1">
      <alignment horizontal="left" vertical="bottom" shrinkToFit="1"/>
    </xf>
    <xf numFmtId="49" fontId="6" fillId="2" borderId="15" xfId="0" applyNumberFormat="1" applyFont="1" applyFill="1" applyBorder="1" applyAlignment="1">
      <alignment horizontal="left" vertical="bottom"/>
    </xf>
    <xf numFmtId="49" fontId="1" fillId="2" borderId="17" xfId="0" applyNumberFormat="1" applyFont="1" applyFill="1" applyBorder="1" applyAlignment="1">
      <alignment horizontal="left" vertical="bottom"/>
    </xf>
    <xf numFmtId="164" fontId="6" fillId="2" borderId="18" xfId="0" applyNumberFormat="1" applyFont="1" applyFill="1" applyBorder="1" applyAlignment="1">
      <alignment horizontal="center" vertical="bottom"/>
    </xf>
    <xf numFmtId="0" fontId="6" fillId="2" borderId="18" xfId="0" applyFont="1" applyFill="1" applyBorder="1" applyAlignment="1">
      <alignment horizontal="center" vertical="bottom"/>
    </xf>
    <xf numFmtId="1" fontId="6" fillId="2" borderId="18" xfId="0" applyNumberFormat="1" applyFont="1" applyFill="1" applyBorder="1" applyAlignment="1">
      <alignment horizontal="center" vertical="bottom"/>
    </xf>
    <xf numFmtId="1" fontId="6" fillId="2" borderId="19" xfId="0" applyNumberFormat="1" applyFont="1" applyFill="1" applyBorder="1" applyAlignment="1">
      <alignment horizontal="center" vertical="bottom"/>
    </xf>
    <xf numFmtId="49" fontId="6" fillId="2" borderId="18" xfId="0" applyNumberFormat="1" applyFont="1" applyFill="1" applyBorder="1" applyAlignment="1">
      <alignment horizontal="left" vertical="bottom"/>
    </xf>
    <xf numFmtId="49" fontId="1" fillId="2" borderId="20" xfId="0" applyNumberFormat="1" applyFont="1" applyFill="1" applyBorder="1" applyAlignment="1">
      <alignment horizontal="left" vertical="bottom"/>
    </xf>
    <xf numFmtId="49" fontId="4" fillId="2" borderId="19" xfId="0" applyNumberFormat="1" applyFont="1" applyFill="1" applyBorder="1" applyAlignment="1">
      <alignment horizontal="left" vertical="bottom" shrinkToFit="1"/>
    </xf>
    <xf numFmtId="2" fontId="6" fillId="2" borderId="21" xfId="0" applyNumberFormat="1" applyFont="1" applyFill="1" applyBorder="1" applyAlignment="1">
      <alignment horizontal="center" vertical="bottom"/>
    </xf>
    <xf numFmtId="2" fontId="6" fillId="2" borderId="22" xfId="0" applyNumberFormat="1" applyFont="1" applyFill="1" applyBorder="1" applyAlignment="1">
      <alignment horizontal="center" vertical="bottom"/>
    </xf>
    <xf numFmtId="164" fontId="6" fillId="2" borderId="23" xfId="0" applyNumberFormat="1" applyFont="1" applyFill="1" applyBorder="1" applyAlignment="1">
      <alignment horizontal="center" vertical="bottom"/>
    </xf>
    <xf numFmtId="0" fontId="6" fillId="2" borderId="23" xfId="0" applyFont="1" applyFill="1" applyBorder="1" applyAlignment="1">
      <alignment horizontal="center" vertical="bottom"/>
    </xf>
    <xf numFmtId="1" fontId="6" fillId="2" borderId="23" xfId="0" applyNumberFormat="1" applyFont="1" applyFill="1" applyBorder="1" applyAlignment="1">
      <alignment horizontal="center" vertical="bottom"/>
    </xf>
    <xf numFmtId="1" fontId="6" fillId="2" borderId="24" xfId="0" applyNumberFormat="1" applyFont="1" applyFill="1" applyBorder="1" applyAlignment="1">
      <alignment horizontal="center" vertical="bottom"/>
    </xf>
    <xf numFmtId="49" fontId="4" fillId="2" borderId="24" xfId="0" applyNumberFormat="1" applyFont="1" applyFill="1" applyBorder="1" applyAlignment="1">
      <alignment horizontal="left" vertical="bottom" shrinkToFit="1"/>
    </xf>
    <xf numFmtId="49" fontId="6" fillId="2" borderId="23" xfId="0" applyNumberFormat="1" applyFont="1" applyFill="1" applyBorder="1" applyAlignment="1">
      <alignment horizontal="left" vertical="bottom"/>
    </xf>
    <xf numFmtId="49" fontId="1" fillId="2" borderId="25" xfId="0" applyNumberFormat="1" applyFont="1" applyFill="1" applyBorder="1" applyAlignment="1">
      <alignment horizontal="left" vertical="bottom"/>
    </xf>
    <xf numFmtId="2" fontId="6" fillId="2" borderId="0" xfId="0" applyNumberFormat="1" applyFont="1" applyFill="1" applyAlignment="1">
      <alignment horizontal="center" vertical="bottom"/>
    </xf>
    <xf numFmtId="49" fontId="6" fillId="2" borderId="0" xfId="0" applyNumberFormat="1" applyFont="1" applyFill="1" applyAlignment="1">
      <alignment horizontal="center" vertical="bottom"/>
    </xf>
    <xf numFmtId="1" fontId="6" fillId="2" borderId="0" xfId="0" applyNumberFormat="1" applyFont="1" applyFill="1" applyAlignment="1">
      <alignment horizontal="center" vertical="bottom"/>
    </xf>
    <xf numFmtId="49" fontId="1" fillId="2" borderId="0" xfId="0" applyNumberFormat="1" applyFont="1" applyFill="1" applyAlignment="1">
      <alignment horizontal="left" vertical="bottom"/>
    </xf>
    <xf numFmtId="49" fontId="6" fillId="2" borderId="0" xfId="0" applyNumberFormat="1" applyFont="1" applyFill="1" applyAlignment="1">
      <alignment horizontal="left" vertical="bottom"/>
    </xf>
    <xf numFmtId="164" fontId="1" fillId="2" borderId="1" xfId="0" applyNumberFormat="1" applyFont="1" applyFill="1" applyBorder="1" applyAlignment="1">
      <alignment horizontal="center" vertical="bottom"/>
    </xf>
    <xf numFmtId="165" fontId="1" fillId="0" borderId="1" xfId="0" applyNumberFormat="1" applyFont="1" applyBorder="1" applyAlignment="1">
      <alignment horizontal="left" vertical="bottom"/>
    </xf>
    <xf numFmtId="166" fontId="1" fillId="2" borderId="0" xfId="0" applyNumberFormat="1" applyFont="1" applyFill="1" applyAlignment="1">
      <alignment horizontal="left" vertical="bottom"/>
    </xf>
    <xf numFmtId="0" fontId="3" fillId="2" borderId="0" xfId="0" applyFont="1" applyFill="1" applyAlignment="1">
      <alignment vertical="bottom"/>
    </xf>
    <xf numFmtId="164" fontId="1" fillId="2" borderId="0" xfId="0" applyNumberFormat="1" applyFont="1" applyFill="1" applyAlignment="1">
      <alignment horizontal="center" vertical="bottom"/>
    </xf>
    <xf numFmtId="166" fontId="1" fillId="2" borderId="0" xfId="0" applyNumberFormat="1" applyFont="1" applyFill="1" applyAlignment="1">
      <alignment horizontal="center" vertical="bottom"/>
    </xf>
    <xf numFmtId="0" fontId="1" fillId="2" borderId="0" xfId="0" applyFont="1" applyFill="1" applyAlignment="1">
      <alignment horizontal="right" vertical="bottom"/>
    </xf>
    <xf numFmtId="164" fontId="3" fillId="2" borderId="0" xfId="0" applyNumberFormat="1" applyFont="1" applyFill="1" applyAlignment="1">
      <alignment horizontal="left" vertical="bottom"/>
    </xf>
    <xf numFmtId="164" fontId="1" fillId="2" borderId="0" xfId="0" applyNumberFormat="1" applyFont="1" applyFill="1" applyAlignment="1">
      <alignment horizontal="left" vertical="bottom"/>
    </xf>
    <xf numFmtId="166" fontId="1" fillId="2" borderId="1" xfId="0" applyNumberFormat="1" applyFont="1" applyFill="1" applyBorder="1" applyAlignment="1">
      <alignment horizontal="center" vertical="bottom"/>
    </xf>
    <xf numFmtId="167" fontId="1" fillId="0" borderId="0" xfId="0" applyNumberFormat="1" applyFont="1" applyAlignment="1">
      <alignment vertical="bottom"/>
    </xf>
    <xf numFmtId="167" fontId="2" fillId="2" borderId="0" xfId="0" applyNumberFormat="1" applyFont="1" applyFill="1" applyAlignment="1">
      <alignment horizontal="left" vertical="bottom"/>
    </xf>
    <xf numFmtId="167" fontId="2" fillId="2" borderId="0" xfId="0" applyNumberFormat="1" applyFont="1" applyFill="1" applyAlignment="1">
      <alignment vertical="bottom"/>
    </xf>
    <xf numFmtId="167" fontId="1" fillId="2" borderId="0" xfId="0" applyNumberFormat="1" applyFont="1" applyFill="1" applyAlignment="1">
      <alignment vertical="bottom"/>
    </xf>
    <xf numFmtId="167" fontId="5" fillId="2" borderId="0" xfId="0" applyNumberFormat="1" applyFont="1" applyFill="1" applyAlignment="1">
      <alignment horizontal="center" vertical="bottom"/>
    </xf>
    <xf numFmtId="167" fontId="1" fillId="2" borderId="0" xfId="0" applyNumberFormat="1" applyFont="1" applyFill="1" applyAlignment="1">
      <alignment horizontal="left" vertical="bottom" wrapText="1"/>
    </xf>
    <xf numFmtId="167" fontId="1" fillId="0" borderId="0" xfId="0" applyNumberFormat="1" applyFont="1" applyAlignment="1">
      <alignment horizontal="center" vertical="bottom"/>
    </xf>
    <xf numFmtId="167" fontId="1" fillId="2" borderId="0" xfId="0" applyNumberFormat="1" applyFont="1" applyFill="1" applyAlignment="1">
      <alignment horizontal="justify" vertical="bottom" wrapText="1"/>
    </xf>
    <xf numFmtId="167" fontId="1" fillId="2" borderId="1" xfId="0" applyNumberFormat="1" applyFont="1" applyFill="1" applyBorder="1" applyAlignment="1">
      <alignment horizontal="left" vertical="bottom"/>
    </xf>
    <xf numFmtId="167" fontId="1" fillId="0" borderId="5" xfId="0" applyNumberFormat="1" applyFont="1" applyBorder="1" applyAlignment="1">
      <alignment horizontal="center" vertical="center" wrapText="1"/>
    </xf>
    <xf numFmtId="167" fontId="1" fillId="0" borderId="26" xfId="0" applyNumberFormat="1" applyFont="1" applyBorder="1" applyAlignment="1">
      <alignment horizontal="center" vertical="center"/>
    </xf>
    <xf numFmtId="167" fontId="6" fillId="0" borderId="26" xfId="0" applyNumberFormat="1" applyFont="1" applyBorder="1" applyAlignment="1">
      <alignment horizontal="center" vertical="center" wrapText="1"/>
    </xf>
    <xf numFmtId="167" fontId="6" fillId="0" borderId="27" xfId="0" applyNumberFormat="1" applyFont="1" applyBorder="1" applyAlignment="1">
      <alignment horizontal="center" vertical="center" wrapText="1"/>
    </xf>
    <xf numFmtId="167" fontId="1" fillId="0" borderId="28" xfId="0" applyNumberFormat="1" applyFont="1" applyBorder="1" applyAlignment="1">
      <alignment horizontal="center" vertical="center" wrapText="1"/>
    </xf>
    <xf numFmtId="167" fontId="1" fillId="0" borderId="29" xfId="0" applyNumberFormat="1" applyFont="1" applyBorder="1" applyAlignment="1">
      <alignment horizontal="center" vertical="center" wrapText="1"/>
    </xf>
    <xf numFmtId="167" fontId="1" fillId="0" borderId="30" xfId="0" applyNumberFormat="1" applyFont="1" applyBorder="1" applyAlignment="1">
      <alignment horizontal="center" vertical="center" wrapText="1"/>
    </xf>
    <xf numFmtId="167" fontId="6" fillId="0" borderId="31" xfId="0" applyNumberFormat="1" applyFont="1" applyBorder="1" applyAlignment="1">
      <alignment vertical="bottom"/>
    </xf>
    <xf numFmtId="164" fontId="6" fillId="0" borderId="32" xfId="0" applyNumberFormat="1" applyFont="1" applyBorder="1" applyAlignment="1">
      <alignment horizontal="center" vertical="bottom"/>
    </xf>
    <xf numFmtId="164" fontId="6" fillId="0" borderId="33" xfId="0" applyNumberFormat="1" applyFont="1" applyBorder="1" applyAlignment="1">
      <alignment horizontal="center" vertical="bottom"/>
    </xf>
    <xf numFmtId="167" fontId="6" fillId="0" borderId="32" xfId="0" applyNumberFormat="1" applyFont="1" applyBorder="1" applyAlignment="1">
      <alignment horizontal="center" vertical="bottom"/>
    </xf>
    <xf numFmtId="167" fontId="1" fillId="0" borderId="18" xfId="0" applyNumberFormat="1" applyFont="1" applyBorder="1" applyAlignment="1">
      <alignment vertical="bottom" shrinkToFit="1"/>
    </xf>
    <xf numFmtId="168" fontId="8" fillId="0" borderId="34" xfId="0" applyNumberFormat="1" applyFont="1" applyBorder="1" applyAlignment="1">
      <alignment horizontal="right" vertical="center"/>
    </xf>
    <xf numFmtId="164" fontId="1" fillId="0" borderId="34" xfId="0" applyNumberFormat="1" applyFont="1" applyBorder="1" applyAlignment="1">
      <alignment horizontal="center" vertical="bottom"/>
    </xf>
    <xf numFmtId="164" fontId="1" fillId="0" borderId="35" xfId="0" applyNumberFormat="1" applyFont="1" applyBorder="1" applyAlignment="1">
      <alignment horizontal="right" vertical="bottom"/>
    </xf>
    <xf numFmtId="168" fontId="8" fillId="0" borderId="36" xfId="0" applyNumberFormat="1" applyFont="1" applyBorder="1" applyAlignment="1">
      <alignment horizontal="right" vertical="center"/>
    </xf>
    <xf numFmtId="164" fontId="1" fillId="0" borderId="37" xfId="0" applyNumberFormat="1" applyFont="1" applyBorder="1" applyAlignment="1">
      <alignment horizontal="right" vertical="bottom"/>
    </xf>
    <xf numFmtId="168" fontId="8" fillId="0" borderId="38" xfId="0" applyNumberFormat="1" applyFont="1" applyBorder="1" applyAlignment="1">
      <alignment horizontal="right" vertical="center"/>
    </xf>
    <xf numFmtId="164" fontId="1" fillId="0" borderId="39" xfId="0" applyNumberFormat="1" applyFont="1" applyBorder="1" applyAlignment="1">
      <alignment horizontal="right" vertical="bottom"/>
    </xf>
    <xf numFmtId="167" fontId="1" fillId="0" borderId="40" xfId="0" applyNumberFormat="1" applyFont="1" applyBorder="1" applyAlignment="1">
      <alignment horizontal="center" vertical="bottom"/>
    </xf>
    <xf numFmtId="164" fontId="10" fillId="2" borderId="41" xfId="0" applyNumberFormat="1" applyFont="1" applyFill="1" applyBorder="1" applyAlignment="1">
      <alignment horizontal="right" vertical="bottom"/>
    </xf>
    <xf numFmtId="164" fontId="3" fillId="2" borderId="42" xfId="0" applyNumberFormat="1" applyFont="1" applyFill="1" applyBorder="1" applyAlignment="1">
      <alignment horizontal="right" vertical="bottom"/>
    </xf>
    <xf numFmtId="164" fontId="3" fillId="2" borderId="43" xfId="0" applyNumberFormat="1" applyFont="1" applyFill="1" applyBorder="1" applyAlignment="1">
      <alignment horizontal="right" vertical="bottom"/>
    </xf>
    <xf numFmtId="167" fontId="6" fillId="2" borderId="44" xfId="0" applyNumberFormat="1" applyFont="1" applyFill="1" applyBorder="1" applyAlignment="1">
      <alignment horizontal="right" vertical="bottom"/>
    </xf>
    <xf numFmtId="167" fontId="1" fillId="2" borderId="45" xfId="0" applyNumberFormat="1" applyFont="1" applyFill="1" applyBorder="1" applyAlignment="1">
      <alignment horizontal="right" vertical="bottom"/>
    </xf>
    <xf numFmtId="167" fontId="1" fillId="2" borderId="0" xfId="0" applyNumberFormat="1" applyFont="1" applyFill="1" applyAlignment="1">
      <alignment horizontal="center" vertical="bottom"/>
    </xf>
    <xf numFmtId="166" fontId="1" fillId="2" borderId="45" xfId="0" applyNumberFormat="1" applyFont="1" applyFill="1" applyBorder="1" applyAlignment="1">
      <alignment horizontal="left" vertical="bottom"/>
    </xf>
    <xf numFmtId="167" fontId="4" fillId="2" borderId="0" xfId="0" applyNumberFormat="1" applyFont="1" applyFill="1" applyAlignment="1">
      <alignment vertical="bottom"/>
    </xf>
    <xf numFmtId="167" fontId="7" fillId="2" borderId="0" xfId="0" applyNumberFormat="1" applyFont="1" applyFill="1" applyAlignment="1">
      <alignment vertical="bottom"/>
    </xf>
    <xf numFmtId="167" fontId="7" fillId="0" borderId="0" xfId="0" applyNumberFormat="1" applyFont="1" applyAlignment="1">
      <alignment vertical="bottom"/>
    </xf>
    <xf numFmtId="167" fontId="8" fillId="2" borderId="0" xfId="0" applyNumberFormat="1" applyFont="1" applyFill="1" applyAlignment="1">
      <alignment horizontal="center" vertical="bottom"/>
    </xf>
    <xf numFmtId="167" fontId="3" fillId="2" borderId="0" xfId="0" applyNumberFormat="1" applyFont="1" applyFill="1" applyAlignment="1">
      <alignment vertical="bottom"/>
    </xf>
    <xf numFmtId="167" fontId="1" fillId="2" borderId="0" xfId="0" applyNumberFormat="1" applyFont="1" applyFill="1" applyAlignment="1">
      <alignment horizontal="right" vertical="bottom"/>
    </xf>
    <xf numFmtId="167" fontId="6" fillId="2" borderId="0" xfId="0" applyNumberFormat="1" applyFont="1" applyFill="1" applyAlignment="1">
      <alignment horizontal="center" vertical="bottom"/>
    </xf>
    <xf numFmtId="167" fontId="1" fillId="2" borderId="0" xfId="0" applyNumberFormat="1" applyFont="1" applyFill="1" applyAlignment="1">
      <alignment horizontal="left" vertical="bottom"/>
    </xf>
    <xf numFmtId="167" fontId="2" fillId="2" borderId="46" xfId="0" applyNumberFormat="1" applyFont="1" applyFill="1" applyBorder="1" applyAlignment="1">
      <alignment vertical="bottom"/>
    </xf>
    <xf numFmtId="167" fontId="1" fillId="2" borderId="44" xfId="0" applyNumberFormat="1" applyFont="1" applyFill="1" applyBorder="1" applyAlignment="1">
      <alignment vertical="bottom"/>
    </xf>
    <xf numFmtId="0" fontId="1" fillId="2" borderId="44" xfId="0" applyFont="1" applyFill="1" applyBorder="1" applyAlignment="1">
      <alignment vertical="bottom"/>
    </xf>
    <xf numFmtId="0" fontId="1" fillId="2" borderId="47" xfId="0" applyFont="1" applyFill="1" applyBorder="1" applyAlignment="1">
      <alignment vertical="bottom"/>
    </xf>
    <xf numFmtId="167" fontId="1" fillId="2" borderId="48" xfId="0" applyNumberFormat="1" applyFont="1" applyFill="1" applyBorder="1" applyAlignment="1">
      <alignment vertical="bottom"/>
    </xf>
    <xf numFmtId="167" fontId="1" fillId="2" borderId="49" xfId="0" applyNumberFormat="1" applyFont="1" applyFill="1" applyBorder="1" applyAlignment="1">
      <alignment vertical="bottom"/>
    </xf>
    <xf numFmtId="167" fontId="1" fillId="0" borderId="50" xfId="0" applyNumberFormat="1" applyFont="1" applyBorder="1" applyAlignment="1">
      <alignment horizontal="left" vertical="bottom"/>
    </xf>
    <xf numFmtId="167" fontId="1" fillId="0" borderId="51" xfId="0" applyNumberFormat="1" applyFont="1" applyBorder="1" applyAlignment="1">
      <alignment horizontal="right" vertical="bottom"/>
    </xf>
    <xf numFmtId="167" fontId="1" fillId="0" borderId="52" xfId="0" applyNumberFormat="1" applyFont="1" applyBorder="1" applyAlignment="1">
      <alignment horizontal="left" vertical="bottom"/>
    </xf>
    <xf numFmtId="167" fontId="1" fillId="0" borderId="53" xfId="0" applyNumberFormat="1" applyFont="1" applyBorder="1" applyAlignment="1">
      <alignment horizontal="center" vertical="center"/>
    </xf>
    <xf numFmtId="167" fontId="11" fillId="0" borderId="54" xfId="0" applyNumberFormat="1" applyFont="1" applyBorder="1" applyAlignment="1">
      <alignment horizontal="center" vertical="center"/>
    </xf>
    <xf numFmtId="167" fontId="11" fillId="0" borderId="6" xfId="0" applyNumberFormat="1" applyFont="1" applyBorder="1" applyAlignment="1">
      <alignment horizontal="center" vertical="center"/>
    </xf>
    <xf numFmtId="167" fontId="11" fillId="0" borderId="9" xfId="0" applyNumberFormat="1" applyFont="1" applyBorder="1" applyAlignment="1">
      <alignment horizontal="center" vertical="center"/>
    </xf>
    <xf numFmtId="167" fontId="1" fillId="0" borderId="55" xfId="0" applyNumberFormat="1" applyFont="1" applyBorder="1" applyAlignment="1">
      <alignment horizontal="center" vertical="center" wrapText="1"/>
    </xf>
    <xf numFmtId="167" fontId="1" fillId="0" borderId="56" xfId="0" applyNumberFormat="1" applyFont="1" applyBorder="1" applyAlignment="1">
      <alignment horizontal="center" vertical="center" wrapText="1"/>
    </xf>
    <xf numFmtId="167" fontId="9" fillId="0" borderId="57" xfId="0" applyNumberFormat="1" applyFont="1" applyBorder="1" applyAlignment="1">
      <alignment horizontal="center" vertical="center"/>
    </xf>
    <xf numFmtId="164" fontId="1" fillId="0" borderId="58" xfId="0" applyNumberFormat="1" applyFont="1" applyBorder="1" applyAlignment="1">
      <alignment vertical="bottom"/>
    </xf>
    <xf numFmtId="169" fontId="1" fillId="0" borderId="59" xfId="0" applyNumberFormat="1" applyFont="1" applyBorder="1" applyAlignment="1">
      <alignment vertical="bottom"/>
    </xf>
    <xf numFmtId="169" fontId="1" fillId="0" borderId="60" xfId="0" applyNumberFormat="1" applyFont="1" applyBorder="1" applyAlignment="1">
      <alignment vertical="bottom"/>
    </xf>
    <xf numFmtId="169" fontId="1" fillId="0" borderId="59" xfId="0" applyNumberFormat="1" applyFont="1" applyBorder="1" applyAlignment="1">
      <alignment horizontal="center" vertical="bottom"/>
    </xf>
    <xf numFmtId="169" fontId="1" fillId="0" borderId="59" xfId="0" applyNumberFormat="1" applyFont="1" applyBorder="1" applyAlignment="1">
      <alignment horizontal="right" vertical="bottom"/>
    </xf>
    <xf numFmtId="167" fontId="9" fillId="0" borderId="10" xfId="0" applyNumberFormat="1" applyFont="1" applyBorder="1" applyAlignment="1">
      <alignment horizontal="center" vertical="center"/>
    </xf>
    <xf numFmtId="164" fontId="1" fillId="0" borderId="61" xfId="0" applyNumberFormat="1" applyFont="1" applyBorder="1" applyAlignment="1">
      <alignment vertical="bottom"/>
    </xf>
    <xf numFmtId="169" fontId="1" fillId="0" borderId="60" xfId="0" applyNumberFormat="1" applyFont="1" applyBorder="1" applyAlignment="1">
      <alignment horizontal="center" vertical="bottom"/>
    </xf>
    <xf numFmtId="169" fontId="1" fillId="0" borderId="60" xfId="0" applyNumberFormat="1" applyFont="1" applyBorder="1" applyAlignment="1">
      <alignment horizontal="right" vertical="bottom"/>
    </xf>
    <xf numFmtId="167" fontId="9" fillId="0" borderId="28" xfId="0" applyNumberFormat="1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 wrapText="1"/>
    </xf>
    <xf numFmtId="167" fontId="1" fillId="3" borderId="62" xfId="0" applyNumberFormat="1" applyFont="1" applyFill="1" applyBorder="1" applyAlignment="1">
      <alignment horizontal="center" vertical="bottom"/>
    </xf>
    <xf numFmtId="169" fontId="1" fillId="0" borderId="63" xfId="0" applyNumberFormat="1" applyFont="1" applyBorder="1" applyAlignment="1">
      <alignment vertical="bottom"/>
    </xf>
    <xf numFmtId="167" fontId="1" fillId="3" borderId="64" xfId="0" applyNumberFormat="1" applyFont="1" applyFill="1" applyBorder="1" applyAlignment="1">
      <alignment horizontal="center" vertical="bottom"/>
    </xf>
    <xf numFmtId="167" fontId="6" fillId="0" borderId="55" xfId="0" applyNumberFormat="1" applyFont="1" applyBorder="1" applyAlignment="1">
      <alignment horizontal="center" vertical="center" wrapText="1"/>
    </xf>
    <xf numFmtId="169" fontId="1" fillId="0" borderId="65" xfId="0" applyNumberFormat="1" applyFont="1" applyBorder="1" applyAlignment="1">
      <alignment vertical="bottom"/>
    </xf>
    <xf numFmtId="167" fontId="1" fillId="0" borderId="66" xfId="0" applyNumberFormat="1" applyFont="1" applyBorder="1" applyAlignment="1">
      <alignment horizontal="center" vertical="center"/>
    </xf>
    <xf numFmtId="169" fontId="3" fillId="0" borderId="67" xfId="0" applyNumberFormat="1" applyFont="1" applyBorder="1" applyAlignment="1">
      <alignment horizontal="right" vertical="center"/>
    </xf>
    <xf numFmtId="169" fontId="3" fillId="0" borderId="68" xfId="0" applyNumberFormat="1" applyFont="1" applyBorder="1" applyAlignment="1">
      <alignment horizontal="right" vertical="center"/>
    </xf>
    <xf numFmtId="169" fontId="3" fillId="0" borderId="69" xfId="0" applyNumberFormat="1" applyFont="1" applyBorder="1" applyAlignment="1">
      <alignment horizontal="right" vertical="center"/>
    </xf>
    <xf numFmtId="0" fontId="1" fillId="2" borderId="46" xfId="0" applyFont="1" applyFill="1" applyBorder="1" applyAlignment="1">
      <alignment vertical="bottom"/>
    </xf>
    <xf numFmtId="0" fontId="3" fillId="2" borderId="44" xfId="0" applyFont="1" applyFill="1" applyBorder="1" applyAlignment="1">
      <alignment horizontal="center" vertical="bottom"/>
    </xf>
    <xf numFmtId="0" fontId="1" fillId="2" borderId="8" xfId="0" applyFont="1" applyFill="1" applyBorder="1" applyAlignment="1">
      <alignment vertical="bottom"/>
    </xf>
    <xf numFmtId="0" fontId="3" fillId="2" borderId="70" xfId="0" applyFont="1" applyFill="1" applyBorder="1" applyAlignment="1">
      <alignment horizontal="center" vertical="bottom"/>
    </xf>
    <xf numFmtId="0" fontId="1" fillId="0" borderId="48" xfId="0" applyFont="1" applyBorder="1" applyAlignment="1">
      <alignment horizontal="left" vertical="bottom" wrapText="1"/>
    </xf>
    <xf numFmtId="169" fontId="12" fillId="2" borderId="7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bottom"/>
    </xf>
    <xf numFmtId="167" fontId="1" fillId="2" borderId="72" xfId="0" applyNumberFormat="1" applyFont="1" applyFill="1" applyBorder="1" applyAlignment="1">
      <alignment vertical="bottom"/>
    </xf>
    <xf numFmtId="0" fontId="1" fillId="2" borderId="73" xfId="0" applyFont="1" applyFill="1" applyBorder="1" applyAlignment="1">
      <alignment horizontal="left" vertical="bottom"/>
    </xf>
    <xf numFmtId="0" fontId="1" fillId="2" borderId="72" xfId="0" applyFont="1" applyFill="1" applyBorder="1" applyAlignment="1">
      <alignment vertical="bottom"/>
    </xf>
    <xf numFmtId="0" fontId="1" fillId="0" borderId="49" xfId="0" applyFont="1" applyBorder="1" applyAlignment="1">
      <alignment vertical="bottom"/>
    </xf>
    <xf numFmtId="0" fontId="1" fillId="2" borderId="48" xfId="0" applyFont="1" applyFill="1" applyBorder="1" applyAlignment="1">
      <alignment horizontal="center" vertical="bottom" wrapText="1"/>
    </xf>
    <xf numFmtId="164" fontId="12" fillId="2" borderId="72" xfId="0" applyNumberFormat="1" applyFont="1" applyFill="1" applyBorder="1" applyAlignment="1">
      <alignment horizontal="right" vertical="bottom"/>
    </xf>
    <xf numFmtId="0" fontId="12" fillId="2" borderId="71" xfId="0" applyFont="1" applyFill="1" applyBorder="1" applyAlignment="1">
      <alignment horizontal="center" vertical="center"/>
    </xf>
    <xf numFmtId="167" fontId="1" fillId="2" borderId="74" xfId="0" applyNumberFormat="1" applyFont="1" applyFill="1" applyBorder="1" applyAlignment="1">
      <alignment vertical="bottom"/>
    </xf>
    <xf numFmtId="167" fontId="1" fillId="2" borderId="4" xfId="0" applyNumberFormat="1" applyFont="1" applyFill="1" applyBorder="1" applyAlignment="1">
      <alignment vertical="bottom"/>
    </xf>
    <xf numFmtId="167" fontId="6" fillId="2" borderId="75" xfId="0" applyNumberFormat="1" applyFont="1" applyFill="1" applyBorder="1" applyAlignment="1">
      <alignment horizontal="left" vertical="bottom"/>
    </xf>
    <xf numFmtId="167" fontId="1" fillId="2" borderId="76" xfId="0" applyNumberFormat="1" applyFont="1" applyFill="1" applyBorder="1" applyAlignment="1">
      <alignment horizontal="center" vertical="bottom"/>
    </xf>
    <xf numFmtId="164" fontId="13" fillId="0" borderId="0" xfId="0" applyNumberFormat="1" applyFont="1" applyAlignment="1">
      <alignment vertical="center"/>
    </xf>
    <xf numFmtId="0" fontId="14" fillId="3" borderId="77" xfId="0" applyFont="1" applyFill="1" applyBorder="1" applyAlignment="1">
      <alignment horizontal="center" vertical="center" wrapText="1"/>
    </xf>
    <xf numFmtId="0" fontId="15" fillId="2" borderId="78" xfId="0" applyFont="1" applyFill="1" applyBorder="1" applyAlignment="1">
      <alignment horizontal="right" vertical="center"/>
    </xf>
    <xf numFmtId="0" fontId="16" fillId="2" borderId="79" xfId="0" applyFont="1" applyFill="1" applyBorder="1" applyAlignment="1">
      <alignment horizontal="left" vertical="center"/>
    </xf>
    <xf numFmtId="0" fontId="16" fillId="2" borderId="80" xfId="0" applyFont="1" applyFill="1" applyBorder="1" applyAlignment="1">
      <alignment horizontal="left" vertical="center"/>
    </xf>
    <xf numFmtId="0" fontId="15" fillId="2" borderId="80" xfId="0" applyFont="1" applyFill="1" applyBorder="1" applyAlignment="1">
      <alignment horizontal="right" vertical="center"/>
    </xf>
    <xf numFmtId="166" fontId="16" fillId="2" borderId="80" xfId="0" applyNumberFormat="1" applyFont="1" applyFill="1" applyBorder="1" applyAlignment="1">
      <alignment horizontal="left" vertical="center" wrapText="1"/>
    </xf>
    <xf numFmtId="0" fontId="15" fillId="2" borderId="81" xfId="0" applyFont="1" applyFill="1" applyBorder="1" applyAlignment="1">
      <alignment vertical="bottom"/>
    </xf>
    <xf numFmtId="164" fontId="16" fillId="3" borderId="82" xfId="0" applyNumberFormat="1" applyFont="1" applyFill="1" applyBorder="1" applyAlignment="1">
      <alignment horizontal="center" vertical="center"/>
    </xf>
    <xf numFmtId="164" fontId="16" fillId="3" borderId="6" xfId="0" applyNumberFormat="1" applyFont="1" applyFill="1" applyBorder="1" applyAlignment="1">
      <alignment horizontal="center" vertical="center"/>
    </xf>
    <xf numFmtId="164" fontId="16" fillId="3" borderId="83" xfId="0" applyNumberFormat="1" applyFont="1" applyFill="1" applyBorder="1" applyAlignment="1">
      <alignment horizontal="center" vertical="center"/>
    </xf>
    <xf numFmtId="164" fontId="16" fillId="0" borderId="84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70" fontId="17" fillId="0" borderId="11" xfId="0" applyNumberFormat="1" applyFont="1" applyBorder="1" applyAlignment="1">
      <alignment vertical="center"/>
    </xf>
    <xf numFmtId="171" fontId="17" fillId="0" borderId="11" xfId="0" applyNumberFormat="1" applyFont="1" applyBorder="1" applyAlignment="1">
      <alignment vertical="center"/>
    </xf>
    <xf numFmtId="170" fontId="17" fillId="0" borderId="85" xfId="0" applyNumberFormat="1" applyFont="1" applyBorder="1" applyAlignment="1">
      <alignment vertical="center"/>
    </xf>
    <xf numFmtId="164" fontId="16" fillId="0" borderId="86" xfId="0" applyNumberFormat="1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6" fillId="0" borderId="13" xfId="0" applyFont="1" applyBorder="1" applyAlignment="1">
      <alignment vertical="center"/>
    </xf>
    <xf numFmtId="2" fontId="17" fillId="0" borderId="16" xfId="0" applyNumberFormat="1" applyFont="1" applyBorder="1" applyAlignment="1">
      <alignment vertical="center"/>
    </xf>
    <xf numFmtId="171" fontId="17" fillId="0" borderId="3" xfId="0" applyNumberFormat="1" applyFont="1" applyBorder="1" applyAlignment="1">
      <alignment vertical="center"/>
    </xf>
    <xf numFmtId="169" fontId="17" fillId="0" borderId="87" xfId="0" applyNumberFormat="1" applyFont="1" applyBorder="1" applyAlignment="1">
      <alignment vertical="center"/>
    </xf>
    <xf numFmtId="169" fontId="17" fillId="0" borderId="85" xfId="0" applyNumberFormat="1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2" fontId="17" fillId="0" borderId="88" xfId="0" applyNumberFormat="1" applyFont="1" applyBorder="1" applyAlignment="1">
      <alignment vertical="center"/>
    </xf>
    <xf numFmtId="171" fontId="17" fillId="0" borderId="0" xfId="0" applyNumberFormat="1" applyFont="1" applyAlignment="1">
      <alignment vertical="center"/>
    </xf>
    <xf numFmtId="169" fontId="17" fillId="0" borderId="72" xfId="0" applyNumberFormat="1" applyFont="1" applyBorder="1" applyAlignment="1">
      <alignment vertical="center"/>
    </xf>
    <xf numFmtId="2" fontId="17" fillId="0" borderId="89" xfId="0" applyNumberFormat="1" applyFont="1" applyBorder="1" applyAlignment="1">
      <alignment vertical="center"/>
    </xf>
    <xf numFmtId="171" fontId="17" fillId="0" borderId="1" xfId="0" applyNumberFormat="1" applyFont="1" applyBorder="1" applyAlignment="1">
      <alignment vertical="center"/>
    </xf>
    <xf numFmtId="169" fontId="17" fillId="0" borderId="90" xfId="0" applyNumberFormat="1" applyFont="1" applyBorder="1" applyAlignment="1">
      <alignment vertical="center"/>
    </xf>
    <xf numFmtId="164" fontId="18" fillId="2" borderId="91" xfId="0" applyNumberFormat="1" applyFont="1" applyFill="1" applyBorder="1" applyAlignment="1">
      <alignment horizontal="right" vertical="center"/>
    </xf>
    <xf numFmtId="170" fontId="19" fillId="0" borderId="11" xfId="0" applyNumberFormat="1" applyFont="1" applyBorder="1" applyAlignment="1">
      <alignment vertical="center"/>
    </xf>
    <xf numFmtId="171" fontId="19" fillId="0" borderId="11" xfId="0" applyNumberFormat="1" applyFont="1" applyBorder="1" applyAlignment="1">
      <alignment vertical="center"/>
    </xf>
    <xf numFmtId="170" fontId="19" fillId="0" borderId="85" xfId="0" applyNumberFormat="1" applyFont="1" applyBorder="1" applyAlignment="1">
      <alignment vertical="center"/>
    </xf>
    <xf numFmtId="164" fontId="15" fillId="0" borderId="86" xfId="0" applyNumberFormat="1" applyFont="1" applyBorder="1" applyAlignment="1">
      <alignment horizontal="center" vertical="center"/>
    </xf>
    <xf numFmtId="0" fontId="15" fillId="0" borderId="0" xfId="0" applyFont="1" applyAlignment="1">
      <alignment vertical="bottom"/>
    </xf>
    <xf numFmtId="0" fontId="15" fillId="0" borderId="92" xfId="0" applyFont="1" applyBorder="1" applyAlignment="1">
      <alignment vertical="bottom"/>
    </xf>
    <xf numFmtId="164" fontId="20" fillId="3" borderId="93" xfId="0" applyNumberFormat="1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64" fontId="16" fillId="3" borderId="13" xfId="0" applyNumberFormat="1" applyFont="1" applyFill="1" applyBorder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/>
    </xf>
    <xf numFmtId="164" fontId="16" fillId="3" borderId="94" xfId="0" applyNumberFormat="1" applyFont="1" applyFill="1" applyBorder="1" applyAlignment="1">
      <alignment horizontal="center" vertical="center"/>
    </xf>
    <xf numFmtId="164" fontId="16" fillId="0" borderId="95" xfId="0" applyNumberFormat="1" applyFont="1" applyBorder="1" applyAlignment="1">
      <alignment horizontal="left" vertical="center"/>
    </xf>
    <xf numFmtId="0" fontId="15" fillId="0" borderId="96" xfId="0" applyFont="1" applyBorder="1" applyAlignment="1">
      <alignment vertical="bottom"/>
    </xf>
    <xf numFmtId="170" fontId="17" fillId="0" borderId="96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5" borderId="87" xfId="0" applyFont="1" applyFill="1" applyBorder="1" applyAlignment="1">
      <alignment horizontal="center" vertical="center"/>
    </xf>
    <xf numFmtId="171" fontId="15" fillId="0" borderId="11" xfId="0" applyNumberFormat="1" applyFont="1" applyBorder="1" applyAlignment="1">
      <alignment vertical="center"/>
    </xf>
    <xf numFmtId="0" fontId="17" fillId="5" borderId="11" xfId="0" applyFont="1" applyFill="1" applyBorder="1" applyAlignment="1">
      <alignment horizontal="center" vertical="center"/>
    </xf>
    <xf numFmtId="3" fontId="17" fillId="0" borderId="87" xfId="0" applyNumberFormat="1" applyFont="1" applyBorder="1" applyAlignment="1">
      <alignment horizontal="center" vertical="center"/>
    </xf>
    <xf numFmtId="170" fontId="17" fillId="0" borderId="87" xfId="0" applyNumberFormat="1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vertical="bottom"/>
    </xf>
    <xf numFmtId="170" fontId="17" fillId="0" borderId="11" xfId="0" applyNumberFormat="1" applyFont="1" applyBorder="1" applyAlignment="1">
      <alignment horizontal="center" vertical="center"/>
    </xf>
    <xf numFmtId="164" fontId="17" fillId="0" borderId="96" xfId="0" applyNumberFormat="1" applyFont="1" applyBorder="1" applyAlignment="1">
      <alignment horizontal="center" vertical="center"/>
    </xf>
    <xf numFmtId="164" fontId="18" fillId="2" borderId="97" xfId="0" applyNumberFormat="1" applyFont="1" applyFill="1" applyBorder="1" applyAlignment="1">
      <alignment horizontal="right" vertical="center"/>
    </xf>
    <xf numFmtId="164" fontId="19" fillId="0" borderId="11" xfId="0" applyNumberFormat="1" applyFont="1" applyBorder="1" applyAlignment="1">
      <alignment horizontal="center" vertical="center"/>
    </xf>
    <xf numFmtId="0" fontId="15" fillId="0" borderId="86" xfId="0" applyFont="1" applyBorder="1" applyAlignment="1">
      <alignment horizontal="center" vertical="center"/>
    </xf>
    <xf numFmtId="0" fontId="16" fillId="3" borderId="93" xfId="0" applyFont="1" applyFill="1" applyBorder="1" applyAlignment="1">
      <alignment horizontal="center" vertical="center"/>
    </xf>
    <xf numFmtId="164" fontId="16" fillId="6" borderId="7" xfId="0" applyNumberFormat="1" applyFont="1" applyFill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169" fontId="19" fillId="0" borderId="85" xfId="0" applyNumberFormat="1" applyFont="1" applyBorder="1" applyAlignment="1">
      <alignment vertical="center"/>
    </xf>
    <xf numFmtId="0" fontId="16" fillId="0" borderId="95" xfId="0" applyFont="1" applyBorder="1" applyAlignment="1">
      <alignment vertical="center"/>
    </xf>
    <xf numFmtId="0" fontId="1" fillId="0" borderId="96" xfId="0" applyFont="1" applyBorder="1" applyAlignment="1">
      <alignment vertical="center"/>
    </xf>
    <xf numFmtId="0" fontId="21" fillId="0" borderId="82" xfId="0" applyFont="1" applyBorder="1" applyAlignment="1">
      <alignment horizontal="center" vertical="center"/>
    </xf>
    <xf numFmtId="0" fontId="16" fillId="0" borderId="82" xfId="0" applyFont="1" applyBorder="1" applyAlignment="1">
      <alignment vertical="center"/>
    </xf>
    <xf numFmtId="170" fontId="19" fillId="0" borderId="11" xfId="0" applyNumberFormat="1" applyFont="1" applyBorder="1" applyAlignment="1">
      <alignment horizontal="center" vertical="center"/>
    </xf>
    <xf numFmtId="164" fontId="18" fillId="2" borderId="98" xfId="0" applyNumberFormat="1" applyFont="1" applyFill="1" applyBorder="1" applyAlignment="1">
      <alignment horizontal="center" vertical="center"/>
    </xf>
    <xf numFmtId="164" fontId="19" fillId="2" borderId="4" xfId="0" applyNumberFormat="1" applyFont="1" applyFill="1" applyBorder="1" applyAlignment="1">
      <alignment vertical="center"/>
    </xf>
    <xf numFmtId="169" fontId="19" fillId="2" borderId="4" xfId="0" applyNumberFormat="1" applyFont="1" applyFill="1" applyBorder="1" applyAlignment="1">
      <alignment vertical="center"/>
    </xf>
    <xf numFmtId="169" fontId="19" fillId="2" borderId="99" xfId="0" applyNumberFormat="1" applyFont="1" applyFill="1" applyBorder="1" applyAlignment="1">
      <alignment vertical="center"/>
    </xf>
    <xf numFmtId="164" fontId="17" fillId="3" borderId="86" xfId="0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vertical="bottom"/>
    </xf>
    <xf numFmtId="0" fontId="16" fillId="3" borderId="0" xfId="0" applyFont="1" applyFill="1" applyAlignment="1">
      <alignment horizontal="center" vertical="bottom"/>
    </xf>
    <xf numFmtId="0" fontId="16" fillId="3" borderId="92" xfId="0" applyFont="1" applyFill="1" applyBorder="1" applyAlignment="1">
      <alignment horizontal="center" vertical="bottom"/>
    </xf>
    <xf numFmtId="164" fontId="22" fillId="3" borderId="86" xfId="0" applyNumberFormat="1" applyFont="1" applyFill="1" applyBorder="1" applyAlignment="1">
      <alignment horizontal="center" vertical="center"/>
    </xf>
    <xf numFmtId="0" fontId="1" fillId="3" borderId="72" xfId="0" applyFont="1" applyFill="1" applyBorder="1" applyAlignment="1">
      <alignment vertical="bottom"/>
    </xf>
    <xf numFmtId="169" fontId="20" fillId="0" borderId="11" xfId="0" applyNumberFormat="1" applyFont="1" applyBorder="1" applyAlignment="1">
      <alignment vertical="center"/>
    </xf>
    <xf numFmtId="170" fontId="20" fillId="0" borderId="11" xfId="0" applyNumberFormat="1" applyFont="1" applyBorder="1" applyAlignment="1">
      <alignment vertical="center"/>
    </xf>
    <xf numFmtId="169" fontId="20" fillId="0" borderId="85" xfId="0" applyNumberFormat="1" applyFont="1" applyBorder="1" applyAlignment="1">
      <alignment vertical="center"/>
    </xf>
    <xf numFmtId="164" fontId="15" fillId="3" borderId="100" xfId="0" applyNumberFormat="1" applyFont="1" applyFill="1" applyBorder="1" applyAlignment="1">
      <alignment horizontal="center" vertical="center"/>
    </xf>
    <xf numFmtId="0" fontId="15" fillId="3" borderId="77" xfId="0" applyFont="1" applyFill="1" applyBorder="1" applyAlignment="1">
      <alignment vertical="bottom"/>
    </xf>
    <xf numFmtId="0" fontId="15" fillId="3" borderId="101" xfId="0" applyFont="1" applyFill="1" applyBorder="1" applyAlignment="1">
      <alignment vertical="bottom"/>
    </xf>
    <xf numFmtId="164" fontId="13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horizontal="center" vertical="center" wrapText="1"/>
    </xf>
    <xf numFmtId="0" fontId="23" fillId="2" borderId="102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vertical="center" wrapText="1"/>
    </xf>
    <xf numFmtId="0" fontId="24" fillId="2" borderId="103" xfId="0" applyFont="1" applyFill="1" applyBorder="1" applyAlignment="1">
      <alignment vertical="center" wrapText="1"/>
    </xf>
    <xf numFmtId="0" fontId="24" fillId="2" borderId="104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3" fillId="0" borderId="0" xfId="0" applyFont="1" applyAlignment="1">
      <alignment horizontal="center" vertical="bottom"/>
    </xf>
    <xf numFmtId="0" fontId="3" fillId="6" borderId="0" xfId="0" applyFont="1" applyFill="1" applyAlignment="1">
      <alignment horizontal="center" vertical="bottom"/>
    </xf>
    <xf numFmtId="0" fontId="3" fillId="0" borderId="11" xfId="0" applyFont="1" applyBorder="1" applyAlignment="1">
      <alignment horizontal="center" vertical="bottom"/>
    </xf>
    <xf numFmtId="0" fontId="3" fillId="0" borderId="0" xfId="0" applyFont="1" applyAlignment="1">
      <alignment vertical="bottom"/>
    </xf>
    <xf numFmtId="0" fontId="1" fillId="0" borderId="0" xfId="0" applyFont="1" applyAlignment="1">
      <alignment vertical="center" wrapText="1"/>
    </xf>
    <xf numFmtId="0" fontId="10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4" fillId="0" borderId="0" xfId="0" applyFont="1" applyAlignment="1">
      <alignment horizontal="right" vertical="bottom"/>
    </xf>
    <xf numFmtId="0" fontId="4" fillId="0" borderId="0" xfId="0" applyFont="1" applyAlignment="1">
      <alignment vertical="bottom"/>
    </xf>
    <xf numFmtId="0" fontId="25" fillId="0" borderId="0" xfId="0" applyFont="1" applyAlignment="1">
      <alignment vertical="bottom"/>
    </xf>
    <xf numFmtId="0" fontId="26" fillId="0" borderId="0" xfId="0" applyFont="1" applyAlignment="1">
      <alignment vertical="bottom"/>
    </xf>
  </cellXfs>
  <cellStyles count="1">
    <cellStyle name="Normal" xfId="0" builtinId="0"/>
  </cellStyles>
  <dxfs count="14"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i/>
        <color rgb="00FFFFFF"/>
        <strike/>
      </font>
      <fill>
        <patternFill>
          <bgColor rgb="FFFF0000"/>
        </patternFill>
      </fill>
    </dxf>
    <dxf>
      <font>
        <b/>
        <i/>
        <color rgb="00FFFFFF"/>
        <strike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D966"/>
        </patternFill>
      </fill>
    </dxf>
    <dxf>
      <fill>
        <patternFill>
          <bgColor rgb="FFFFE699"/>
        </patternFill>
      </fill>
    </dxf>
    <dxf>
      <font>
        <b/>
        <i/>
        <color rgb="00FFFFFF"/>
        <strike/>
      </font>
      <fill>
        <patternFill>
          <bgColor rgb="FFFF0000"/>
        </patternFill>
      </fill>
    </dxf>
    <dxf>
      <font>
        <b/>
        <i/>
        <color rgb="00FFFFFF"/>
        <strike/>
      </font>
      <fill>
        <patternFill>
          <bgColor rgb="FFFF0000"/>
        </patternFill>
      </fill>
    </dxf>
    <dxf>
      <font>
        <b/>
        <i/>
        <color rgb="00FFFFFF"/>
        <strike/>
      </font>
      <fill>
        <patternFill>
          <bgColor rgb="FFFF0000"/>
        </patternFill>
      </fill>
    </dxf>
    <dxf>
      <fill>
        <patternFill>
          <bgColor rgb="FF8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152280</xdr:colOff>
      <xdr:row>0</xdr:row>
      <xdr:rowOff>190440</xdr:rowOff>
    </xdr:from>
    <xdr:to>
      <xdr:col>20</xdr:col>
      <xdr:colOff>94680</xdr:colOff>
      <xdr:row>27</xdr:row>
      <xdr:rowOff>85320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27</xdr:col>
      <xdr:colOff>98640</xdr:colOff>
      <xdr:row>29</xdr:row>
      <xdr:rowOff>100800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R43"/>
  <sheetViews>
    <sheetView workbookViewId="0" zoomScale="150" zoomScaleNormal="150" view="normal">
      <selection activeCell="J33" sqref="J33"/>
    </sheetView>
  </sheetViews>
  <sheetFormatPr defaultRowHeight="12.75" outlineLevelRow="0" outlineLevelCol="0" x14ac:dyDescent="0" defaultColWidth="11.43359375" customHeight="1"/>
  <cols>
    <col min="1" max="1" width="5.28" style="1" customWidth="1"/>
    <col min="2" max="2" width="4.14" style="1" customWidth="1"/>
    <col min="3" max="3" width="3.99" style="1" customWidth="1"/>
    <col min="4" max="4" width="3.86" style="1" customWidth="1"/>
    <col min="5" max="5" width="3.71" style="1" customWidth="1"/>
    <col min="6" max="7" width="4.29" style="1" customWidth="1"/>
    <col min="8" max="8" width="6.42" style="1" customWidth="1"/>
    <col min="9" max="9" width="11.42" style="1" customWidth="1"/>
    <col min="10" max="10" width="17.58" style="1" customWidth="1"/>
    <col min="11" max="11" width="11.42" style="1" customWidth="1"/>
    <col min="12" max="12" width="10.58" style="1" customWidth="1"/>
    <col min="13" max="13" width="7.15" style="1" customWidth="1"/>
    <col min="14" max="14" width="10" style="1" customWidth="1"/>
    <col min="15" max="15" width="11.14" style="1" customWidth="1"/>
    <col min="16" max="16" width="12.71" style="1" customWidth="1"/>
    <col min="17" max="17" width="10" style="1" customWidth="1"/>
    <col min="18" max="18" width="6.28" style="1" customWidth="1"/>
  </cols>
  <sheetData>
    <row r="1" ht="12.75" customHeight="1" spans="1:18" x14ac:dyDescent="0.25">
      <c r="A1" s="2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L1" s="4" t="s">
        <v>2</v>
      </c>
      <c r="M1" s="4"/>
      <c r="N1" s="4"/>
      <c r="O1" s="4"/>
      <c r="P1" s="4"/>
      <c r="Q1" s="4"/>
      <c r="R1" s="4"/>
    </row>
    <row r="2" ht="12.75" customHeight="1" spans="1:1" x14ac:dyDescent="0.25">
      <c r="A2" s="5" t="s">
        <v>3</v>
      </c>
    </row>
    <row r="3" ht="15" customHeight="1" spans="1:18" x14ac:dyDescent="0.25">
      <c r="A3" s="6" t="s">
        <v>4</v>
      </c>
      <c r="B3" s="6"/>
      <c r="C3" s="6"/>
      <c r="D3" s="7" t="s">
        <v>5</v>
      </c>
      <c r="E3" s="7"/>
      <c r="F3" s="7"/>
      <c r="G3" s="7"/>
      <c r="H3" s="7"/>
      <c r="I3" s="7"/>
      <c r="J3" s="1" t="s">
        <v>6</v>
      </c>
      <c r="K3" s="8" t="s">
        <v>7</v>
      </c>
      <c r="L3" s="8"/>
      <c r="M3" s="8"/>
      <c r="N3" s="8"/>
      <c r="O3" s="8"/>
      <c r="P3" s="5" t="s">
        <v>8</v>
      </c>
      <c r="Q3" s="9"/>
      <c r="R3" s="10" t="s">
        <v>9</v>
      </c>
    </row>
    <row r="4" ht="12.75" customHeight="1" spans="4:18" x14ac:dyDescent="0.25">
      <c r="D4" s="11"/>
      <c r="E4" s="11"/>
      <c r="F4" s="11"/>
      <c r="G4" s="12"/>
      <c r="H4" s="11"/>
      <c r="I4" s="11"/>
      <c r="J4" s="1" t="s">
        <v>10</v>
      </c>
      <c r="K4" s="13"/>
      <c r="L4" s="13"/>
      <c r="M4" s="13"/>
      <c r="N4" s="14" t="s">
        <v>11</v>
      </c>
      <c r="O4" s="15" t="s">
        <v>12</v>
      </c>
      <c r="P4" s="16" t="s">
        <v>13</v>
      </c>
      <c r="Q4" s="17"/>
      <c r="R4" s="17"/>
    </row>
    <row r="5" ht="16.5" customHeight="1" spans="1:18" x14ac:dyDescent="0.25">
      <c r="A5" s="18" t="s">
        <v>14</v>
      </c>
      <c r="B5" s="19"/>
      <c r="C5" s="19"/>
      <c r="J5" s="1" t="s">
        <v>15</v>
      </c>
      <c r="N5" s="20"/>
      <c r="O5" s="21" t="s">
        <v>16</v>
      </c>
      <c r="Q5" s="22"/>
      <c r="R5" s="22"/>
    </row>
    <row r="6" ht="19.5" customHeight="1" spans="1:18" x14ac:dyDescent="0.25">
      <c r="A6" s="23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ht="17.25" customHeight="1" spans="1:18" x14ac:dyDescent="0.25">
      <c r="A7" s="24" t="s">
        <v>18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ht="12.75" customHeight="1" spans="1:18" x14ac:dyDescent="0.25">
      <c r="A8" s="25" t="s">
        <v>19</v>
      </c>
      <c r="B8" s="25"/>
      <c r="C8" s="25"/>
      <c r="D8" s="26" t="s">
        <v>20</v>
      </c>
      <c r="E8" s="26"/>
      <c r="F8" s="26"/>
      <c r="G8" s="26"/>
      <c r="H8" s="27" t="s">
        <v>21</v>
      </c>
      <c r="I8" s="27"/>
      <c r="J8" s="27"/>
      <c r="K8" s="27"/>
      <c r="L8" s="28" t="s">
        <v>22</v>
      </c>
      <c r="M8" s="29" t="s">
        <v>23</v>
      </c>
      <c r="N8" s="29"/>
      <c r="O8" s="29"/>
      <c r="P8" s="29"/>
      <c r="Q8" s="29"/>
      <c r="R8" s="29"/>
    </row>
    <row r="9" ht="12.75" customHeight="1" spans="1:18" x14ac:dyDescent="0.25">
      <c r="A9" s="30" t="s">
        <v>24</v>
      </c>
      <c r="B9" s="31" t="s">
        <v>25</v>
      </c>
      <c r="C9" s="31" t="s">
        <v>26</v>
      </c>
      <c r="D9" s="32" t="s">
        <v>27</v>
      </c>
      <c r="E9" s="32"/>
      <c r="F9" s="31" t="s">
        <v>25</v>
      </c>
      <c r="G9" s="31" t="s">
        <v>26</v>
      </c>
      <c r="H9" s="27"/>
      <c r="I9" s="27"/>
      <c r="J9" s="27"/>
      <c r="K9" s="27"/>
      <c r="L9" s="33" t="s">
        <v>28</v>
      </c>
      <c r="M9" s="29"/>
      <c r="N9" s="29"/>
      <c r="O9" s="29"/>
      <c r="P9" s="29"/>
      <c r="Q9" s="29"/>
      <c r="R9" s="29"/>
    </row>
    <row r="10" ht="12.75" customHeight="1" spans="1:18" x14ac:dyDescent="0.25">
      <c r="A10" s="30"/>
      <c r="B10" s="31"/>
      <c r="C10" s="31"/>
      <c r="D10" s="34" t="s">
        <v>29</v>
      </c>
      <c r="E10" s="34" t="s">
        <v>30</v>
      </c>
      <c r="F10" s="31"/>
      <c r="G10" s="31"/>
      <c r="H10" s="35" t="s">
        <v>31</v>
      </c>
      <c r="I10" s="35"/>
      <c r="J10" s="35"/>
      <c r="K10" s="35"/>
      <c r="L10" s="36" t="s">
        <v>32</v>
      </c>
      <c r="M10" s="29"/>
      <c r="N10" s="29"/>
      <c r="O10" s="29"/>
      <c r="P10" s="29"/>
      <c r="Q10" s="29"/>
      <c r="R10" s="29"/>
    </row>
    <row r="11" ht="12.75" customHeight="1" spans="1:18" x14ac:dyDescent="0.25">
      <c r="A11" s="37"/>
      <c r="B11" s="38"/>
      <c r="C11" s="38"/>
      <c r="D11" s="39">
        <f>IF(E11&lt;&gt;"","",IF(AND(A11&lt;15,A11&gt;1),"X",""))</f>
      </c>
      <c r="E11" s="38"/>
      <c r="F11" s="40"/>
      <c r="G11" s="41"/>
      <c r="H11" s="42"/>
      <c r="I11" s="42"/>
      <c r="J11" s="42"/>
      <c r="K11" s="42"/>
      <c r="L11" s="43"/>
      <c r="M11" s="44"/>
      <c r="N11" s="44"/>
      <c r="O11" s="44"/>
      <c r="P11" s="44"/>
      <c r="Q11" s="44"/>
      <c r="R11" s="44"/>
    </row>
    <row r="12" ht="12.75" customHeight="1" spans="1:18" x14ac:dyDescent="0.25">
      <c r="A12" s="37"/>
      <c r="B12" s="45"/>
      <c r="C12" s="45"/>
      <c r="D12" s="46">
        <f>IF(E12&lt;&gt;"","",IF(AND(A12&lt;15,A12&gt;1),"X",""))</f>
      </c>
      <c r="E12" s="45"/>
      <c r="F12" s="47"/>
      <c r="G12" s="48"/>
      <c r="H12" s="42"/>
      <c r="I12" s="42"/>
      <c r="J12" s="42"/>
      <c r="K12" s="42"/>
      <c r="L12" s="49"/>
      <c r="M12" s="50"/>
      <c r="N12" s="50"/>
      <c r="O12" s="50"/>
      <c r="P12" s="50"/>
      <c r="Q12" s="50"/>
      <c r="R12" s="50"/>
    </row>
    <row r="13" ht="12.75" customHeight="1" spans="1:18" x14ac:dyDescent="0.25">
      <c r="A13" s="37"/>
      <c r="B13" s="45"/>
      <c r="C13" s="45"/>
      <c r="D13" s="46">
        <f>IF(E13&lt;&gt;"","",IF(AND(A13&lt;15,A13&gt;1),"X",""))</f>
      </c>
      <c r="E13" s="45"/>
      <c r="F13" s="47"/>
      <c r="G13" s="48"/>
      <c r="H13" s="42"/>
      <c r="I13" s="42"/>
      <c r="J13" s="42"/>
      <c r="K13" s="42"/>
      <c r="L13" s="49"/>
      <c r="M13" s="50"/>
      <c r="N13" s="50"/>
      <c r="O13" s="50"/>
      <c r="P13" s="50"/>
      <c r="Q13" s="50"/>
      <c r="R13" s="50"/>
    </row>
    <row r="14" ht="12.75" customHeight="1" spans="1:18" x14ac:dyDescent="0.25">
      <c r="A14" s="37"/>
      <c r="B14" s="45"/>
      <c r="C14" s="45"/>
      <c r="D14" s="46">
        <f>IF(E14&lt;&gt;"","",IF(AND(A14&lt;15,A14&gt;1),"X",""))</f>
      </c>
      <c r="E14" s="45"/>
      <c r="F14" s="47"/>
      <c r="G14" s="48"/>
      <c r="H14" s="42"/>
      <c r="I14" s="42"/>
      <c r="J14" s="42"/>
      <c r="K14" s="42"/>
      <c r="L14" s="49"/>
      <c r="M14" s="50"/>
      <c r="N14" s="50"/>
      <c r="O14" s="50"/>
      <c r="P14" s="50"/>
      <c r="Q14" s="50"/>
      <c r="R14" s="50"/>
    </row>
    <row r="15" ht="12.75" customHeight="1" spans="1:18" x14ac:dyDescent="0.25">
      <c r="A15" s="37"/>
      <c r="B15" s="45"/>
      <c r="C15" s="45"/>
      <c r="D15" s="46">
        <f>IF(E15&lt;&gt;"","",IF(AND(A15&lt;15,A15&gt;1),"X",""))</f>
      </c>
      <c r="E15" s="45"/>
      <c r="F15" s="47"/>
      <c r="G15" s="48"/>
      <c r="H15" s="42"/>
      <c r="I15" s="42"/>
      <c r="J15" s="42"/>
      <c r="K15" s="42"/>
      <c r="L15" s="49"/>
      <c r="M15" s="50"/>
      <c r="N15" s="50"/>
      <c r="O15" s="50"/>
      <c r="P15" s="50"/>
      <c r="Q15" s="50"/>
      <c r="R15" s="50"/>
    </row>
    <row r="16" ht="12.75" customHeight="1" spans="1:18" x14ac:dyDescent="0.25">
      <c r="A16" s="37"/>
      <c r="B16" s="45"/>
      <c r="C16" s="45"/>
      <c r="D16" s="46">
        <f>IF(E16&lt;&gt;"","",IF(AND(A16&lt;15,A16&gt;1),"X",""))</f>
      </c>
      <c r="E16" s="45"/>
      <c r="F16" s="47"/>
      <c r="G16" s="48"/>
      <c r="H16" s="42"/>
      <c r="I16" s="42"/>
      <c r="J16" s="42"/>
      <c r="K16" s="42"/>
      <c r="L16" s="49"/>
      <c r="M16" s="50"/>
      <c r="N16" s="50"/>
      <c r="O16" s="50"/>
      <c r="P16" s="50"/>
      <c r="Q16" s="50"/>
      <c r="R16" s="50"/>
    </row>
    <row r="17" ht="12.75" customHeight="1" spans="1:18" x14ac:dyDescent="0.25">
      <c r="A17" s="37"/>
      <c r="B17" s="45"/>
      <c r="C17" s="45"/>
      <c r="D17" s="46">
        <f>IF(E17&lt;&gt;"","",IF(AND(A17&lt;15,A17&gt;1),"X",""))</f>
      </c>
      <c r="E17" s="45"/>
      <c r="F17" s="47"/>
      <c r="G17" s="48"/>
      <c r="H17" s="51"/>
      <c r="I17" s="51"/>
      <c r="J17" s="51"/>
      <c r="K17" s="51"/>
      <c r="L17" s="49"/>
      <c r="M17" s="50"/>
      <c r="N17" s="50"/>
      <c r="O17" s="50"/>
      <c r="P17" s="50"/>
      <c r="Q17" s="50"/>
      <c r="R17" s="50"/>
    </row>
    <row r="18" ht="12.75" customHeight="1" spans="1:18" x14ac:dyDescent="0.25">
      <c r="A18" s="52"/>
      <c r="B18" s="45"/>
      <c r="C18" s="45"/>
      <c r="D18" s="46">
        <f>IF(E18&lt;&gt;"","",IF(AND(A18&lt;15,A18&gt;1),"X",""))</f>
      </c>
      <c r="E18" s="45"/>
      <c r="F18" s="47"/>
      <c r="G18" s="48"/>
      <c r="H18" s="51"/>
      <c r="I18" s="51"/>
      <c r="J18" s="51"/>
      <c r="K18" s="51"/>
      <c r="L18" s="49"/>
      <c r="M18" s="50"/>
      <c r="N18" s="50"/>
      <c r="O18" s="50"/>
      <c r="P18" s="50"/>
      <c r="Q18" s="50"/>
      <c r="R18" s="50"/>
    </row>
    <row r="19" ht="12.75" customHeight="1" spans="1:18" x14ac:dyDescent="0.25">
      <c r="A19" s="52"/>
      <c r="B19" s="45"/>
      <c r="C19" s="45"/>
      <c r="D19" s="46">
        <f>IF(E19&lt;&gt;"","",IF(AND(A19&lt;15,A19&gt;1),"X",""))</f>
      </c>
      <c r="E19" s="45"/>
      <c r="F19" s="47"/>
      <c r="G19" s="48"/>
      <c r="H19" s="51"/>
      <c r="I19" s="51"/>
      <c r="J19" s="51"/>
      <c r="K19" s="51"/>
      <c r="L19" s="49"/>
      <c r="M19" s="50"/>
      <c r="N19" s="50"/>
      <c r="O19" s="50"/>
      <c r="P19" s="50"/>
      <c r="Q19" s="50"/>
      <c r="R19" s="50"/>
    </row>
    <row r="20" ht="12.75" customHeight="1" spans="1:18" x14ac:dyDescent="0.25">
      <c r="A20" s="52"/>
      <c r="B20" s="45"/>
      <c r="C20" s="45"/>
      <c r="D20" s="46">
        <f>IF(E20&lt;&gt;"","",IF(AND(A20&lt;15,A20&gt;1),"X",""))</f>
      </c>
      <c r="E20" s="45"/>
      <c r="F20" s="47"/>
      <c r="G20" s="48"/>
      <c r="H20" s="51"/>
      <c r="I20" s="51"/>
      <c r="J20" s="51"/>
      <c r="K20" s="51"/>
      <c r="L20" s="49"/>
      <c r="M20" s="50"/>
      <c r="N20" s="50"/>
      <c r="O20" s="50"/>
      <c r="P20" s="50"/>
      <c r="Q20" s="50"/>
      <c r="R20" s="50"/>
    </row>
    <row r="21" ht="12.75" customHeight="1" spans="1:18" x14ac:dyDescent="0.25">
      <c r="A21" s="52"/>
      <c r="B21" s="45"/>
      <c r="C21" s="45"/>
      <c r="D21" s="46">
        <f>IF(E21&lt;&gt;"","",IF(AND(A21&lt;15,A21&gt;1),"X",""))</f>
      </c>
      <c r="E21" s="45"/>
      <c r="F21" s="47"/>
      <c r="G21" s="48"/>
      <c r="H21" s="51"/>
      <c r="I21" s="51"/>
      <c r="J21" s="51"/>
      <c r="K21" s="51"/>
      <c r="L21" s="49"/>
      <c r="M21" s="50"/>
      <c r="N21" s="50"/>
      <c r="O21" s="50"/>
      <c r="P21" s="50"/>
      <c r="Q21" s="50"/>
      <c r="R21" s="50"/>
    </row>
    <row r="22" ht="12.75" customHeight="1" spans="1:18" x14ac:dyDescent="0.25">
      <c r="A22" s="52"/>
      <c r="B22" s="45"/>
      <c r="C22" s="45"/>
      <c r="D22" s="46">
        <f>IF(E22&lt;&gt;"","",IF(AND(A22&lt;15,A22&gt;1),"X",""))</f>
      </c>
      <c r="E22" s="45"/>
      <c r="F22" s="47"/>
      <c r="G22" s="48"/>
      <c r="H22" s="51"/>
      <c r="I22" s="51"/>
      <c r="J22" s="51"/>
      <c r="K22" s="51"/>
      <c r="L22" s="49"/>
      <c r="M22" s="50"/>
      <c r="N22" s="50"/>
      <c r="O22" s="50"/>
      <c r="P22" s="50"/>
      <c r="Q22" s="50"/>
      <c r="R22" s="50"/>
    </row>
    <row r="23" ht="12.75" customHeight="1" spans="1:18" x14ac:dyDescent="0.25">
      <c r="A23" s="52"/>
      <c r="B23" s="45"/>
      <c r="C23" s="45"/>
      <c r="D23" s="46">
        <f>IF(E23&lt;&gt;"","",IF(AND(A23&lt;15,A23&gt;1),"X",""))</f>
      </c>
      <c r="E23" s="45"/>
      <c r="F23" s="47"/>
      <c r="G23" s="48"/>
      <c r="H23" s="51"/>
      <c r="I23" s="51"/>
      <c r="J23" s="51"/>
      <c r="K23" s="51"/>
      <c r="L23" s="49"/>
      <c r="M23" s="50"/>
      <c r="N23" s="50"/>
      <c r="O23" s="50"/>
      <c r="P23" s="50"/>
      <c r="Q23" s="50"/>
      <c r="R23" s="50"/>
    </row>
    <row r="24" ht="12.75" customHeight="1" spans="1:18" x14ac:dyDescent="0.25">
      <c r="A24" s="52"/>
      <c r="B24" s="45"/>
      <c r="C24" s="45"/>
      <c r="D24" s="46">
        <f>IF(E24&lt;&gt;"","",IF(AND(A24&lt;15,A24&gt;1),"X",""))</f>
      </c>
      <c r="E24" s="45"/>
      <c r="F24" s="47"/>
      <c r="G24" s="48"/>
      <c r="H24" s="51"/>
      <c r="I24" s="51"/>
      <c r="J24" s="51"/>
      <c r="K24" s="51"/>
      <c r="L24" s="49"/>
      <c r="M24" s="50"/>
      <c r="N24" s="50"/>
      <c r="O24" s="50"/>
      <c r="P24" s="50"/>
      <c r="Q24" s="50"/>
      <c r="R24" s="50"/>
    </row>
    <row r="25" ht="13.5" customHeight="1" spans="1:18" x14ac:dyDescent="0.25">
      <c r="A25" s="53"/>
      <c r="B25" s="54"/>
      <c r="C25" s="54"/>
      <c r="D25" s="55">
        <f>IF(E25&lt;&gt;"","",IF(AND(A25&lt;15,A25&gt;1),"X",""))</f>
      </c>
      <c r="E25" s="54"/>
      <c r="F25" s="56"/>
      <c r="G25" s="57"/>
      <c r="H25" s="58"/>
      <c r="I25" s="58"/>
      <c r="J25" s="58"/>
      <c r="K25" s="58"/>
      <c r="L25" s="59"/>
      <c r="M25" s="60"/>
      <c r="N25" s="60"/>
      <c r="O25" s="60"/>
      <c r="P25" s="60"/>
      <c r="Q25" s="60"/>
      <c r="R25" s="60"/>
    </row>
    <row r="26" ht="13.5" customHeight="1" spans="1:18" x14ac:dyDescent="0.25">
      <c r="A26" s="61"/>
      <c r="B26" s="12"/>
      <c r="C26" s="12"/>
      <c r="D26" s="62"/>
      <c r="E26" s="12"/>
      <c r="F26" s="63"/>
      <c r="G26" s="63"/>
      <c r="H26" s="64"/>
      <c r="I26" s="64"/>
      <c r="J26" s="64"/>
      <c r="K26" s="64"/>
      <c r="L26" s="65"/>
      <c r="M26" s="64"/>
      <c r="N26" s="64"/>
      <c r="O26" s="64"/>
      <c r="P26" s="64"/>
      <c r="Q26" s="64"/>
      <c r="R26" s="64"/>
    </row>
    <row r="27" ht="12.75" customHeight="1" spans="1:14" x14ac:dyDescent="0.25">
      <c r="A27" s="22"/>
      <c r="B27" s="22"/>
      <c r="C27" s="22"/>
      <c r="G27" s="22" t="s">
        <v>33</v>
      </c>
      <c r="H27" s="66" t="str">
        <f>D3</f>
        <v>TRUJILLO</v>
      </c>
      <c r="I27" s="66"/>
      <c r="J27" s="66"/>
      <c r="K27" s="67">
        <f>CONCATENATE("  a     ",B11,"  de        ",IF(C11=1,"Enero",IF(C11=2,"Febrero",IF(C11=3,"Marzo",IF(C11=4,"Abril",IF(C11=5,"Mayo",IF(C11=6,"Junio",IF(C11=9,"Septiembre",""))))))),IF(C11=10,"Octubre",IF(C11=11,"Noviembre",IF(C11=12,"Diciembre","")))," de   ",IF(AND(C11=12,MONTH(TODAY())=1),YEAR(TODAY())-1,YEAR(TODAY())))</f>
        <v>NaN</v>
      </c>
      <c r="L27" s="67"/>
      <c r="M27" s="67"/>
      <c r="N27" s="67"/>
    </row>
    <row r="28" ht="12.75" customHeight="1" spans="3:10" x14ac:dyDescent="0.25">
      <c r="C28" s="68"/>
      <c r="D28" s="68"/>
      <c r="E28" s="68"/>
      <c r="F28" s="68"/>
      <c r="G28" s="68"/>
      <c r="H28" s="68"/>
      <c r="J28" s="69" t="s">
        <v>34</v>
      </c>
    </row>
    <row r="29" ht="12.75" customHeight="1" spans="1:13" x14ac:dyDescent="0.25">
      <c r="A29" s="70"/>
      <c r="B29" s="70"/>
      <c r="C29" s="70"/>
      <c r="D29" s="70"/>
      <c r="E29" s="70"/>
      <c r="F29" s="70"/>
      <c r="G29" s="70"/>
      <c r="H29" s="70"/>
      <c r="J29" s="22"/>
      <c r="K29" s="22"/>
      <c r="L29" s="22"/>
      <c r="M29" s="22"/>
    </row>
    <row r="30" ht="12.75" customHeight="1" spans="7:10" x14ac:dyDescent="0.25">
      <c r="G30" s="71"/>
      <c r="H30" s="71"/>
      <c r="I30" s="71"/>
      <c r="J30" s="71"/>
    </row>
    <row r="33" ht="12.75" customHeight="1" spans="1:12" x14ac:dyDescent="0.25">
      <c r="A33" s="22"/>
      <c r="B33" s="22"/>
      <c r="C33" s="22"/>
      <c r="D33" s="22"/>
      <c r="E33" s="22"/>
      <c r="F33" s="22"/>
      <c r="G33" s="22"/>
      <c r="I33" s="72" t="s">
        <v>35</v>
      </c>
      <c r="J33" s="13" t="s">
        <v>36</v>
      </c>
      <c r="K33" s="13"/>
      <c r="L33" s="13"/>
    </row>
    <row r="34" ht="8.25" customHeight="1" x14ac:dyDescent="0.25"/>
    <row r="35" ht="12.75" customHeight="1" spans="1:9" x14ac:dyDescent="0.25">
      <c r="A35" s="19" t="s">
        <v>37</v>
      </c>
      <c r="B35" s="19"/>
      <c r="C35" s="19"/>
      <c r="D35" s="19"/>
      <c r="E35" s="19"/>
      <c r="F35" s="19"/>
      <c r="G35" s="19"/>
      <c r="H35" s="19"/>
      <c r="I35" s="19"/>
    </row>
    <row r="36" ht="12.75" customHeight="1" spans="1:18" x14ac:dyDescent="0.25">
      <c r="A36" s="73" t="s">
        <v>38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</row>
    <row r="37" ht="12.75" customHeight="1" spans="1:18" x14ac:dyDescent="0.25">
      <c r="A37" s="74" t="s">
        <v>39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</row>
    <row r="38" ht="12.75" customHeight="1" spans="6:9" x14ac:dyDescent="0.25">
      <c r="F38" s="12"/>
      <c r="G38" s="11"/>
      <c r="I38" s="12" t="s">
        <v>40</v>
      </c>
    </row>
    <row r="39" ht="12.75" customHeight="1" spans="4:10" x14ac:dyDescent="0.25">
      <c r="D39" s="70" t="str">
        <f>H27</f>
        <v>TRUJILLO</v>
      </c>
      <c r="E39" s="70"/>
      <c r="F39" s="70"/>
      <c r="G39" s="70"/>
      <c r="H39" s="70"/>
      <c r="I39" s="75">
        <f>Reverso!I24</f>
        <v>NaN</v>
      </c>
      <c r="J39" s="75"/>
    </row>
    <row r="42" ht="7.5" customHeight="1" x14ac:dyDescent="0.25"/>
    <row r="43" ht="12.75" customHeight="1" spans="8:11" x14ac:dyDescent="0.25">
      <c r="H43" s="66" t="str">
        <f>J33</f>
        <v>MARÍA MONTAÑA HERNÁNDEZ FERNÁNDEZ</v>
      </c>
      <c r="I43" s="66"/>
      <c r="J43" s="66"/>
      <c r="K43" s="66"/>
    </row>
  </sheetData>
  <mergeCells count="60">
    <mergeCell ref="C1:J1"/>
    <mergeCell ref="L1:R1"/>
    <mergeCell ref="D3:I3"/>
    <mergeCell ref="K3:O3"/>
    <mergeCell ref="K4:M4"/>
    <mergeCell ref="Q4:R4"/>
    <mergeCell ref="A6:R6"/>
    <mergeCell ref="A7:R7"/>
    <mergeCell ref="A8:C8"/>
    <mergeCell ref="D8:G8"/>
    <mergeCell ref="H8:K9"/>
    <mergeCell ref="M8:R10"/>
    <mergeCell ref="D9:E9"/>
    <mergeCell ref="A9:A10"/>
    <mergeCell ref="B9:B10"/>
    <mergeCell ref="C9:C10"/>
    <mergeCell ref="F9:F10"/>
    <mergeCell ref="G9:G10"/>
    <mergeCell ref="H10:K10"/>
    <mergeCell ref="H11:K11"/>
    <mergeCell ref="M11:R11"/>
    <mergeCell ref="H12:K12"/>
    <mergeCell ref="M12:R12"/>
    <mergeCell ref="H13:K13"/>
    <mergeCell ref="M13:R13"/>
    <mergeCell ref="H14:K14"/>
    <mergeCell ref="M14:R14"/>
    <mergeCell ref="H15:K15"/>
    <mergeCell ref="M15:R15"/>
    <mergeCell ref="H16:K16"/>
    <mergeCell ref="M16:R16"/>
    <mergeCell ref="H17:K17"/>
    <mergeCell ref="M17:R17"/>
    <mergeCell ref="H18:K18"/>
    <mergeCell ref="M18:R18"/>
    <mergeCell ref="H19:K19"/>
    <mergeCell ref="M19:R19"/>
    <mergeCell ref="H20:K20"/>
    <mergeCell ref="M20:R20"/>
    <mergeCell ref="H21:K21"/>
    <mergeCell ref="M21:R21"/>
    <mergeCell ref="H22:K22"/>
    <mergeCell ref="M22:R22"/>
    <mergeCell ref="H23:K23"/>
    <mergeCell ref="M23:R23"/>
    <mergeCell ref="H24:K24"/>
    <mergeCell ref="M24:R24"/>
    <mergeCell ref="H25:K25"/>
    <mergeCell ref="M25:R25"/>
    <mergeCell ref="H27:J27"/>
    <mergeCell ref="K27:N27"/>
    <mergeCell ref="C28:H28"/>
    <mergeCell ref="A29:H29"/>
    <mergeCell ref="G30:J30"/>
    <mergeCell ref="J33:L33"/>
    <mergeCell ref="A36:R36"/>
    <mergeCell ref="A37:R37"/>
    <mergeCell ref="D39:H39"/>
    <mergeCell ref="I39:J39"/>
    <mergeCell ref="H43:K43"/>
  </mergeCells>
  <conditionalFormatting sqref="C1:J1 D3:I3 Q3 Q4:R4 O4:O5">
    <cfRule type="cellIs" dxfId="0" priority="2" operator="equal">
      <formula>""</formula>
    </cfRule>
  </conditionalFormatting>
  <conditionalFormatting sqref="K4:M4 J33:L33">
    <cfRule type="cellIs" dxfId="1" priority="3" operator="equal">
      <formula>""</formula>
    </cfRule>
  </conditionalFormatting>
  <conditionalFormatting sqref="K3:O3">
    <cfRule type="cellIs" dxfId="2" priority="4" operator="equal">
      <formula>""</formula>
    </cfRule>
  </conditionalFormatting>
  <pageMargins left="0.236111111111111" right="0.236111111111111" top="0.315277777777778" bottom="0.354166666666667" header="0.511811023622047" footer="0.354166666666667"/>
  <pageSetup paperSize="9" orientation="landscape" horizontalDpi="300" verticalDpi="300" scale="100" fitToWidth="1" fitToHeight="1" firstPageNumber="1" useFirstPageNumber="1" copies="1"/>
  <headerFooter>
    <oddFooter>&amp;R&amp;8 &amp;F 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workbookViewId="0" zoomScale="150" zoomScaleNormal="150" view="normal">
      <selection activeCell="G4" sqref="G4"/>
    </sheetView>
  </sheetViews>
  <sheetFormatPr defaultRowHeight="12.75" outlineLevelRow="0" outlineLevelCol="0" x14ac:dyDescent="0" defaultColWidth="11.43359375" customHeight="1"/>
  <cols>
    <col min="1" max="3" width="4.57" style="76" customWidth="1"/>
    <col min="4" max="4" width="6.01" style="76" customWidth="1"/>
    <col min="5" max="5" width="4.43" style="76" customWidth="1"/>
    <col min="6" max="6" width="5.14" style="76" customWidth="1"/>
    <col min="7" max="7" width="9" style="76" customWidth="1"/>
    <col min="8" max="8" width="8.71" style="76" customWidth="1"/>
    <col min="9" max="9" width="9.71" style="76" customWidth="1"/>
    <col min="10" max="10" width="10.71" style="76" customWidth="1"/>
    <col min="11" max="11" width="5.14" style="76" customWidth="1"/>
    <col min="12" max="12" width="4.71" style="76" customWidth="1"/>
    <col min="13" max="13" width="4.29" style="76" customWidth="1"/>
    <col min="14" max="14" width="5.57" style="76" customWidth="1"/>
    <col min="15" max="16" width="5.7" style="76" customWidth="1"/>
    <col min="17" max="17" width="11.42" style="76" customWidth="1"/>
    <col min="18" max="18" width="10.99" style="76" customWidth="1"/>
    <col min="19" max="19" width="9.42" style="76" customWidth="1"/>
    <col min="20" max="1024" width="11.42" style="76" customWidth="1"/>
  </cols>
  <sheetData>
    <row r="1" ht="21.75" customHeight="1" spans="1:16" x14ac:dyDescent="0.25">
      <c r="A1" s="77" t="s">
        <v>41</v>
      </c>
      <c r="B1" s="77"/>
      <c r="C1" s="77"/>
      <c r="D1" s="77"/>
      <c r="E1" s="77"/>
      <c r="F1" s="77"/>
      <c r="G1" s="77"/>
      <c r="H1" s="77"/>
      <c r="I1" s="78"/>
      <c r="J1" s="79"/>
      <c r="K1" s="79"/>
      <c r="L1" s="79"/>
      <c r="M1" s="79"/>
      <c r="N1" s="79"/>
      <c r="O1" s="79"/>
      <c r="P1" s="79"/>
    </row>
    <row r="2" ht="13.5" customHeight="1" spans="1:16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</row>
    <row r="3" ht="24.75" customHeight="1" spans="1:19" x14ac:dyDescent="0.25">
      <c r="A3" s="81" t="s">
        <v>42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2"/>
      <c r="R3" s="82"/>
      <c r="S3" s="82"/>
    </row>
    <row r="4" ht="11.25" customHeight="1" spans="1:19" x14ac:dyDescent="0.25">
      <c r="A4" s="83"/>
      <c r="B4" s="83"/>
      <c r="C4" s="79"/>
      <c r="D4" s="79"/>
      <c r="E4" s="79"/>
      <c r="F4" s="79"/>
      <c r="G4" s="84"/>
      <c r="H4" s="84"/>
      <c r="I4" s="84"/>
      <c r="J4" s="84"/>
      <c r="K4" s="84"/>
      <c r="L4" s="84"/>
      <c r="M4" s="84"/>
      <c r="N4" s="84"/>
      <c r="O4" s="84"/>
      <c r="P4" s="84"/>
      <c r="Q4" s="82"/>
      <c r="R4" s="82"/>
      <c r="S4" s="82"/>
    </row>
    <row r="5" ht="6" customHeight="1" spans="1:16" x14ac:dyDescent="0.25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</row>
    <row r="6" ht="22.5" customHeight="1" spans="1:16" x14ac:dyDescent="0.25">
      <c r="A6" s="85" t="s">
        <v>19</v>
      </c>
      <c r="B6" s="85"/>
      <c r="C6" s="85"/>
      <c r="D6" s="85" t="s">
        <v>20</v>
      </c>
      <c r="E6" s="85"/>
      <c r="F6" s="85"/>
      <c r="G6" s="86" t="s">
        <v>43</v>
      </c>
      <c r="H6" s="86"/>
      <c r="I6" s="86"/>
      <c r="J6" s="86"/>
      <c r="K6" s="86"/>
      <c r="L6" s="86"/>
      <c r="M6" s="86"/>
      <c r="N6" s="87" t="s">
        <v>44</v>
      </c>
      <c r="O6" s="87" t="s">
        <v>45</v>
      </c>
      <c r="P6" s="88" t="s">
        <v>46</v>
      </c>
    </row>
    <row r="7" ht="21.75" customHeight="1" spans="1:16" x14ac:dyDescent="0.25">
      <c r="A7" s="89" t="s">
        <v>24</v>
      </c>
      <c r="B7" s="90" t="s">
        <v>25</v>
      </c>
      <c r="C7" s="91" t="s">
        <v>26</v>
      </c>
      <c r="D7" s="89" t="s">
        <v>24</v>
      </c>
      <c r="E7" s="90" t="s">
        <v>25</v>
      </c>
      <c r="F7" s="91" t="s">
        <v>26</v>
      </c>
      <c r="G7" s="86"/>
      <c r="H7" s="86"/>
      <c r="I7" s="86"/>
      <c r="J7" s="86"/>
      <c r="K7" s="86"/>
      <c r="L7" s="86"/>
      <c r="M7" s="86"/>
      <c r="N7" s="87"/>
      <c r="O7" s="87"/>
      <c r="P7" s="88"/>
    </row>
    <row r="8" ht="15" customHeight="1" spans="1:16" x14ac:dyDescent="0.25">
      <c r="A8" s="92">
        <f>IF(Anverso!A11&gt;0,Anverso!A11,"")</f>
      </c>
      <c r="B8" s="93">
        <f>Anverso!B11</f>
        <v>0</v>
      </c>
      <c r="C8" s="94">
        <f>Anverso!C11</f>
        <v>0</v>
      </c>
      <c r="D8" s="95"/>
      <c r="E8" s="93">
        <f>Anverso!F11</f>
        <v>0</v>
      </c>
      <c r="F8" s="94">
        <f>Anverso!G11</f>
        <v>0</v>
      </c>
      <c r="G8" s="96">
        <f>IF(Anverso!H11&gt;0,UPPER(Anverso!H$27)&amp;"-"&amp;UPPER(Anverso!H11)&amp;"-"&amp;UPPER(Anverso!H$27),"")</f>
      </c>
      <c r="H8" s="96"/>
      <c r="I8" s="96"/>
      <c r="J8" s="96"/>
      <c r="K8" s="96"/>
      <c r="L8" s="96"/>
      <c r="M8" s="96"/>
      <c r="N8" s="97"/>
      <c r="O8" s="98"/>
      <c r="P8" s="99"/>
    </row>
    <row r="9" ht="15" customHeight="1" spans="1:16" x14ac:dyDescent="0.25">
      <c r="A9" s="92">
        <f>IF(Anverso!A12&gt;0,Anverso!A12,"")</f>
      </c>
      <c r="B9" s="93">
        <f>Anverso!B12</f>
        <v>0</v>
      </c>
      <c r="C9" s="94">
        <f>Anverso!C12</f>
        <v>0</v>
      </c>
      <c r="D9" s="95"/>
      <c r="E9" s="93">
        <f>Anverso!F12</f>
        <v>0</v>
      </c>
      <c r="F9" s="94">
        <f>Anverso!G12</f>
        <v>0</v>
      </c>
      <c r="G9" s="96">
        <f>IF(Anverso!H12&gt;0,UPPER(Anverso!H$27)&amp;"-"&amp;UPPER(Anverso!H12)&amp;"-"&amp;UPPER(Anverso!H$27),"")</f>
      </c>
      <c r="H9" s="96"/>
      <c r="I9" s="96"/>
      <c r="J9" s="96"/>
      <c r="K9" s="96"/>
      <c r="L9" s="96"/>
      <c r="M9" s="96"/>
      <c r="N9" s="100"/>
      <c r="O9" s="98"/>
      <c r="P9" s="101"/>
    </row>
    <row r="10" ht="15" customHeight="1" spans="1:16" x14ac:dyDescent="0.25">
      <c r="A10" s="92">
        <f>IF(Anverso!A13&gt;0,Anverso!A13,"")</f>
      </c>
      <c r="B10" s="93">
        <f>Anverso!B13</f>
        <v>0</v>
      </c>
      <c r="C10" s="94">
        <f>Anverso!C13</f>
        <v>0</v>
      </c>
      <c r="D10" s="95"/>
      <c r="E10" s="93">
        <f>Anverso!F13</f>
        <v>0</v>
      </c>
      <c r="F10" s="94">
        <f>Anverso!G13</f>
        <v>0</v>
      </c>
      <c r="G10" s="96">
        <f>IF(Anverso!H13&gt;0,UPPER(Anverso!H$27)&amp;"-"&amp;UPPER(Anverso!H13)&amp;"-"&amp;UPPER(Anverso!H$27),"")</f>
      </c>
      <c r="H10" s="96"/>
      <c r="I10" s="96"/>
      <c r="J10" s="96"/>
      <c r="K10" s="96"/>
      <c r="L10" s="96"/>
      <c r="M10" s="96"/>
      <c r="N10" s="100"/>
      <c r="O10" s="98"/>
      <c r="P10" s="101"/>
    </row>
    <row r="11" ht="15" customHeight="1" spans="1:16" x14ac:dyDescent="0.25">
      <c r="A11" s="92">
        <f>IF(Anverso!A14&gt;0,Anverso!A14,"")</f>
      </c>
      <c r="B11" s="93">
        <f>Anverso!B14</f>
        <v>0</v>
      </c>
      <c r="C11" s="94">
        <f>Anverso!C14</f>
        <v>0</v>
      </c>
      <c r="D11" s="95"/>
      <c r="E11" s="93">
        <f>Anverso!F14</f>
        <v>0</v>
      </c>
      <c r="F11" s="94">
        <f>Anverso!G14</f>
        <v>0</v>
      </c>
      <c r="G11" s="96">
        <f>IF(Anverso!H14&gt;0,UPPER(Anverso!H$27)&amp;"-"&amp;UPPER(Anverso!H14)&amp;"-"&amp;UPPER(Anverso!H$27),"")</f>
      </c>
      <c r="H11" s="96"/>
      <c r="I11" s="96"/>
      <c r="J11" s="96"/>
      <c r="K11" s="96"/>
      <c r="L11" s="96"/>
      <c r="M11" s="96"/>
      <c r="N11" s="100"/>
      <c r="O11" s="98"/>
      <c r="P11" s="101"/>
    </row>
    <row r="12" ht="15" customHeight="1" spans="1:16" x14ac:dyDescent="0.25">
      <c r="A12" s="92">
        <f>IF(Anverso!A15&gt;0,Anverso!A15,"")</f>
      </c>
      <c r="B12" s="93">
        <f>Anverso!B15</f>
        <v>0</v>
      </c>
      <c r="C12" s="94">
        <f>Anverso!C15</f>
        <v>0</v>
      </c>
      <c r="D12" s="95"/>
      <c r="E12" s="93">
        <f>Anverso!F15</f>
        <v>0</v>
      </c>
      <c r="F12" s="94">
        <f>Anverso!G15</f>
        <v>0</v>
      </c>
      <c r="G12" s="96">
        <f>IF(Anverso!H15&gt;0,UPPER(Anverso!H$27)&amp;"-"&amp;UPPER(Anverso!H15)&amp;"-"&amp;UPPER(Anverso!H$27),"")</f>
      </c>
      <c r="H12" s="96"/>
      <c r="I12" s="96"/>
      <c r="J12" s="96"/>
      <c r="K12" s="96"/>
      <c r="L12" s="96"/>
      <c r="M12" s="96"/>
      <c r="N12" s="100"/>
      <c r="O12" s="98"/>
      <c r="P12" s="101"/>
    </row>
    <row r="13" ht="15" customHeight="1" spans="1:16" x14ac:dyDescent="0.25">
      <c r="A13" s="92">
        <f>IF(Anverso!A16&gt;0,Anverso!A16,"")</f>
      </c>
      <c r="B13" s="93">
        <f>Anverso!B16</f>
        <v>0</v>
      </c>
      <c r="C13" s="94">
        <f>Anverso!C16</f>
        <v>0</v>
      </c>
      <c r="D13" s="95"/>
      <c r="E13" s="93">
        <f>Anverso!F16</f>
        <v>0</v>
      </c>
      <c r="F13" s="94">
        <f>Anverso!G16</f>
        <v>0</v>
      </c>
      <c r="G13" s="96">
        <f>IF(Anverso!H16&gt;0,UPPER(Anverso!H$27)&amp;"-"&amp;UPPER(Anverso!H16)&amp;"-"&amp;UPPER(Anverso!H$27),"")</f>
      </c>
      <c r="H13" s="96"/>
      <c r="I13" s="96"/>
      <c r="J13" s="96"/>
      <c r="K13" s="96"/>
      <c r="L13" s="96"/>
      <c r="M13" s="96"/>
      <c r="N13" s="100"/>
      <c r="O13" s="98"/>
      <c r="P13" s="101"/>
    </row>
    <row r="14" ht="15" customHeight="1" spans="1:16" x14ac:dyDescent="0.25">
      <c r="A14" s="92">
        <f>IF(Anverso!A17&gt;0,Anverso!A17,"")</f>
      </c>
      <c r="B14" s="93">
        <f>Anverso!B17</f>
        <v>0</v>
      </c>
      <c r="C14" s="94">
        <f>Anverso!C17</f>
        <v>0</v>
      </c>
      <c r="D14" s="95"/>
      <c r="E14" s="93">
        <f>Anverso!F17</f>
        <v>0</v>
      </c>
      <c r="F14" s="94">
        <f>Anverso!G17</f>
        <v>0</v>
      </c>
      <c r="G14" s="96">
        <f>IF(Anverso!H17&gt;0,UPPER(Anverso!H$27)&amp;"-"&amp;UPPER(Anverso!H17)&amp;"-"&amp;UPPER(Anverso!H$27),"")</f>
      </c>
      <c r="H14" s="96"/>
      <c r="I14" s="96"/>
      <c r="J14" s="96"/>
      <c r="K14" s="96"/>
      <c r="L14" s="96"/>
      <c r="M14" s="96"/>
      <c r="N14" s="100"/>
      <c r="O14" s="98"/>
      <c r="P14" s="101"/>
    </row>
    <row r="15" ht="15" customHeight="1" spans="1:16" x14ac:dyDescent="0.25">
      <c r="A15" s="92">
        <f>IF(Anverso!A18&gt;0,Anverso!A18,"")</f>
      </c>
      <c r="B15" s="93">
        <f>Anverso!B18</f>
        <v>0</v>
      </c>
      <c r="C15" s="94">
        <f>Anverso!C18</f>
        <v>0</v>
      </c>
      <c r="D15" s="95"/>
      <c r="E15" s="93">
        <f>Anverso!F18</f>
        <v>0</v>
      </c>
      <c r="F15" s="94">
        <f>Anverso!G18</f>
        <v>0</v>
      </c>
      <c r="G15" s="96">
        <f>IF(Anverso!H18&gt;0,UPPER(Anverso!H$27)&amp;"-"&amp;UPPER(Anverso!H18)&amp;"-"&amp;UPPER(Anverso!H$27),"")</f>
      </c>
      <c r="H15" s="96"/>
      <c r="I15" s="96"/>
      <c r="J15" s="96"/>
      <c r="K15" s="96"/>
      <c r="L15" s="96"/>
      <c r="M15" s="96"/>
      <c r="N15" s="100"/>
      <c r="O15" s="98"/>
      <c r="P15" s="101"/>
    </row>
    <row r="16" ht="15" customHeight="1" spans="1:16" x14ac:dyDescent="0.25">
      <c r="A16" s="92">
        <f>IF(Anverso!A19&gt;0,Anverso!A19,"")</f>
      </c>
      <c r="B16" s="93">
        <f>Anverso!B19</f>
        <v>0</v>
      </c>
      <c r="C16" s="94">
        <f>Anverso!C19</f>
        <v>0</v>
      </c>
      <c r="D16" s="95"/>
      <c r="E16" s="93">
        <f>Anverso!F19</f>
        <v>0</v>
      </c>
      <c r="F16" s="94">
        <f>Anverso!G19</f>
        <v>0</v>
      </c>
      <c r="G16" s="96">
        <f>IF(Anverso!H19&gt;0,UPPER(Anverso!H$27)&amp;"-"&amp;UPPER(Anverso!H19)&amp;"-"&amp;UPPER(Anverso!H$27),"")</f>
      </c>
      <c r="H16" s="96"/>
      <c r="I16" s="96"/>
      <c r="J16" s="96"/>
      <c r="K16" s="96"/>
      <c r="L16" s="96"/>
      <c r="M16" s="96"/>
      <c r="N16" s="100"/>
      <c r="O16" s="98"/>
      <c r="P16" s="101"/>
    </row>
    <row r="17" ht="15" customHeight="1" spans="1:16" x14ac:dyDescent="0.25">
      <c r="A17" s="92">
        <f>IF(Anverso!A20&gt;0,Anverso!A20,"")</f>
      </c>
      <c r="B17" s="93">
        <f>Anverso!B20</f>
        <v>0</v>
      </c>
      <c r="C17" s="94">
        <f>Anverso!C20</f>
        <v>0</v>
      </c>
      <c r="D17" s="95"/>
      <c r="E17" s="93">
        <f>Anverso!F20</f>
        <v>0</v>
      </c>
      <c r="F17" s="94">
        <f>Anverso!G20</f>
        <v>0</v>
      </c>
      <c r="G17" s="96">
        <f>IF(Anverso!H20&gt;0,UPPER(Anverso!H$27)&amp;"-"&amp;UPPER(Anverso!H20)&amp;"-"&amp;UPPER(Anverso!H$27),"")</f>
      </c>
      <c r="H17" s="96"/>
      <c r="I17" s="96"/>
      <c r="J17" s="96"/>
      <c r="K17" s="96"/>
      <c r="L17" s="96"/>
      <c r="M17" s="96"/>
      <c r="N17" s="100"/>
      <c r="O17" s="98"/>
      <c r="P17" s="101"/>
    </row>
    <row r="18" ht="15" customHeight="1" spans="1:16" x14ac:dyDescent="0.25">
      <c r="A18" s="92">
        <f>IF(Anverso!A21&gt;0,Anverso!A21,"")</f>
      </c>
      <c r="B18" s="93">
        <f>Anverso!B21</f>
        <v>0</v>
      </c>
      <c r="C18" s="94">
        <f>Anverso!C21</f>
        <v>0</v>
      </c>
      <c r="D18" s="95"/>
      <c r="E18" s="93">
        <f>Anverso!F21</f>
        <v>0</v>
      </c>
      <c r="F18" s="94">
        <f>Anverso!G21</f>
        <v>0</v>
      </c>
      <c r="G18" s="96">
        <f>IF(Anverso!H21&gt;0,UPPER(Anverso!H$27)&amp;"-"&amp;UPPER(Anverso!H21)&amp;"-"&amp;UPPER(Anverso!H$27),"")</f>
      </c>
      <c r="H18" s="96"/>
      <c r="I18" s="96"/>
      <c r="J18" s="96"/>
      <c r="K18" s="96"/>
      <c r="L18" s="96"/>
      <c r="M18" s="96"/>
      <c r="N18" s="100"/>
      <c r="O18" s="98"/>
      <c r="P18" s="101"/>
    </row>
    <row r="19" ht="15" customHeight="1" spans="1:16" x14ac:dyDescent="0.25">
      <c r="A19" s="92">
        <f>IF(Anverso!A22&gt;0,Anverso!A22,"")</f>
      </c>
      <c r="B19" s="93">
        <f>Anverso!B22</f>
        <v>0</v>
      </c>
      <c r="C19" s="94">
        <f>Anverso!C22</f>
        <v>0</v>
      </c>
      <c r="D19" s="95"/>
      <c r="E19" s="93">
        <f>Anverso!F22</f>
        <v>0</v>
      </c>
      <c r="F19" s="94">
        <f>Anverso!G22</f>
        <v>0</v>
      </c>
      <c r="G19" s="96">
        <f>IF(Anverso!H22&gt;0,UPPER(Anverso!H$27)&amp;"-"&amp;UPPER(Anverso!H22)&amp;"-"&amp;UPPER(Anverso!H$27),"")</f>
      </c>
      <c r="H19" s="96"/>
      <c r="I19" s="96"/>
      <c r="J19" s="96"/>
      <c r="K19" s="96"/>
      <c r="L19" s="96"/>
      <c r="M19" s="96"/>
      <c r="N19" s="100"/>
      <c r="O19" s="98"/>
      <c r="P19" s="101"/>
    </row>
    <row r="20" ht="15" customHeight="1" spans="1:16" x14ac:dyDescent="0.25">
      <c r="A20" s="92">
        <f>IF(Anverso!A23&gt;0,Anverso!A23,"")</f>
      </c>
      <c r="B20" s="93">
        <f>Anverso!B23</f>
        <v>0</v>
      </c>
      <c r="C20" s="94">
        <f>Anverso!C23</f>
        <v>0</v>
      </c>
      <c r="D20" s="95"/>
      <c r="E20" s="93">
        <f>Anverso!F23</f>
        <v>0</v>
      </c>
      <c r="F20" s="94">
        <f>Anverso!G23</f>
        <v>0</v>
      </c>
      <c r="G20" s="96">
        <f>IF(Anverso!H23&gt;0,UPPER(Anverso!H$27)&amp;"-"&amp;UPPER(Anverso!H23)&amp;"-"&amp;UPPER(Anverso!H$27),"")</f>
      </c>
      <c r="H20" s="96"/>
      <c r="I20" s="96"/>
      <c r="J20" s="96"/>
      <c r="K20" s="96"/>
      <c r="L20" s="96"/>
      <c r="M20" s="96"/>
      <c r="N20" s="100"/>
      <c r="O20" s="98"/>
      <c r="P20" s="101"/>
    </row>
    <row r="21" ht="15" customHeight="1" spans="1:16" x14ac:dyDescent="0.25">
      <c r="A21" s="92">
        <f>IF(Anverso!A24&gt;0,Anverso!A24,"")</f>
      </c>
      <c r="B21" s="93">
        <f>Anverso!B24</f>
        <v>0</v>
      </c>
      <c r="C21" s="94">
        <f>Anverso!C24</f>
        <v>0</v>
      </c>
      <c r="D21" s="95"/>
      <c r="E21" s="93">
        <f>Anverso!F24</f>
        <v>0</v>
      </c>
      <c r="F21" s="94">
        <f>Anverso!G24</f>
        <v>0</v>
      </c>
      <c r="G21" s="96">
        <f>IF(Anverso!H24&gt;0,UPPER(Anverso!H$27)&amp;"-"&amp;UPPER(Anverso!H24)&amp;"-"&amp;UPPER(Anverso!H$27),"")</f>
      </c>
      <c r="H21" s="96"/>
      <c r="I21" s="96"/>
      <c r="J21" s="96"/>
      <c r="K21" s="96"/>
      <c r="L21" s="96"/>
      <c r="M21" s="96"/>
      <c r="N21" s="100"/>
      <c r="O21" s="98"/>
      <c r="P21" s="101"/>
    </row>
    <row r="22" ht="15" customHeight="1" spans="1:16" x14ac:dyDescent="0.25">
      <c r="A22" s="92">
        <f>IF(Anverso!A25&gt;0,Anverso!A25,"")</f>
      </c>
      <c r="B22" s="93">
        <f>Anverso!B25</f>
        <v>0</v>
      </c>
      <c r="C22" s="94">
        <f>Anverso!C25</f>
        <v>0</v>
      </c>
      <c r="D22" s="95"/>
      <c r="E22" s="93">
        <f>Anverso!F25</f>
        <v>0</v>
      </c>
      <c r="F22" s="94">
        <f>Anverso!G25</f>
        <v>0</v>
      </c>
      <c r="G22" s="96">
        <f>IF(Anverso!H25&gt;0,UPPER(Anverso!H$27)&amp;"-"&amp;UPPER(Anverso!H25)&amp;"-"&amp;UPPER(Anverso!H$27),"")</f>
      </c>
      <c r="H22" s="96"/>
      <c r="I22" s="96"/>
      <c r="J22" s="96"/>
      <c r="K22" s="96"/>
      <c r="L22" s="96"/>
      <c r="M22" s="96"/>
      <c r="N22" s="102"/>
      <c r="O22" s="98"/>
      <c r="P22" s="103"/>
    </row>
    <row r="23" ht="15" customHeight="1" spans="1:16" x14ac:dyDescent="0.25">
      <c r="A23" s="104"/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5">
        <f>SUM(N8:N22)</f>
        <v>0</v>
      </c>
      <c r="O23" s="106">
        <f>SUM(O8:O22)</f>
        <v>0</v>
      </c>
      <c r="P23" s="107">
        <f>SUM(P8:P22)</f>
        <v>0</v>
      </c>
    </row>
    <row r="24" ht="13.5" customHeight="1" spans="1:18" x14ac:dyDescent="0.25">
      <c r="A24" s="79"/>
      <c r="B24" s="108" t="s">
        <v>47</v>
      </c>
      <c r="C24" s="108"/>
      <c r="D24" s="108"/>
      <c r="E24" s="109" t="str">
        <f>Anverso!D3</f>
        <v>TRUJILLO</v>
      </c>
      <c r="F24" s="109"/>
      <c r="G24" s="109"/>
      <c r="H24" s="110" t="s">
        <v>48</v>
      </c>
      <c r="I24" s="111">
        <f>CONCATENATE(MAX(E8:E22)," / ",MAX(F8:F22)," / ",IF(AND(MAX(F8:F22)=12,MONTH(TODAY())=1),YEAR(TODAY())-1,YEAR(TODAY())))</f>
        <v>NaN</v>
      </c>
      <c r="J24" s="111"/>
      <c r="K24" s="111"/>
      <c r="L24" s="111"/>
      <c r="M24" s="79"/>
      <c r="N24" s="112"/>
      <c r="O24" s="113"/>
      <c r="P24" s="113"/>
      <c r="Q24" s="114"/>
      <c r="R24" s="114"/>
    </row>
    <row r="25" ht="12.75" customHeight="1" spans="1:16" x14ac:dyDescent="0.25">
      <c r="A25" s="79"/>
      <c r="B25" s="79"/>
      <c r="C25" s="79"/>
      <c r="D25" s="79"/>
      <c r="E25" s="79"/>
      <c r="F25" s="79"/>
      <c r="G25" s="115" t="s">
        <v>49</v>
      </c>
      <c r="H25" s="115"/>
      <c r="I25" s="115"/>
      <c r="J25" s="115"/>
      <c r="K25" s="79"/>
      <c r="L25" s="79"/>
      <c r="M25" s="79"/>
      <c r="N25" s="79"/>
      <c r="O25" s="79"/>
      <c r="P25" s="79"/>
    </row>
    <row r="26" ht="12.75" customHeight="1" spans="1:16" x14ac:dyDescent="0.25">
      <c r="A26" s="79"/>
      <c r="B26" s="116"/>
      <c r="C26" s="116"/>
      <c r="D26" s="79"/>
      <c r="F26" s="116"/>
      <c r="G26" s="117"/>
      <c r="H26" s="118" t="s">
        <v>50</v>
      </c>
      <c r="I26" s="118"/>
      <c r="J26" s="118"/>
      <c r="K26" s="79"/>
      <c r="L26" s="79"/>
      <c r="M26" s="79"/>
      <c r="N26" s="79"/>
      <c r="O26" s="79"/>
      <c r="P26" s="79"/>
    </row>
    <row r="27" ht="12.75" customHeight="1" spans="1:16" x14ac:dyDescent="0.25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</row>
    <row r="28" ht="12.75" customHeight="1" spans="1:16" x14ac:dyDescent="0.25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P28" s="79"/>
    </row>
    <row r="29" ht="12.75" customHeight="1" spans="1:16" x14ac:dyDescent="0.25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</row>
    <row r="30" ht="12.75" customHeight="1" spans="1:16" x14ac:dyDescent="0.25">
      <c r="A30" s="79"/>
      <c r="B30" s="79"/>
      <c r="C30" s="79"/>
      <c r="D30" s="79"/>
      <c r="E30" s="79"/>
      <c r="F30" s="79"/>
      <c r="G30" s="117" t="s">
        <v>35</v>
      </c>
      <c r="H30" s="84">
        <f>Anverso!K3</f>
        <v>0</v>
      </c>
      <c r="I30" s="84"/>
      <c r="J30" s="84"/>
      <c r="K30" s="84"/>
      <c r="L30" s="79"/>
      <c r="M30" s="79"/>
      <c r="N30" s="79"/>
      <c r="O30" s="79"/>
      <c r="P30" s="79"/>
    </row>
    <row r="31" ht="12.75" customHeight="1" spans="1:16" x14ac:dyDescent="0.25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</row>
    <row r="32" ht="7.5" customHeight="1" spans="2:16" x14ac:dyDescent="0.25">
      <c r="B32" s="79"/>
      <c r="C32" s="79"/>
      <c r="D32" s="79"/>
      <c r="E32" s="79"/>
      <c r="F32" s="79"/>
      <c r="G32" s="79"/>
      <c r="H32" s="79"/>
      <c r="J32" s="79"/>
      <c r="K32" s="79"/>
      <c r="L32" s="79"/>
      <c r="M32" s="79"/>
      <c r="N32" s="119"/>
      <c r="O32" s="79"/>
      <c r="P32" s="79"/>
    </row>
    <row r="33" ht="16.5" customHeight="1" spans="1:16" x14ac:dyDescent="0.25">
      <c r="A33" s="120" t="s">
        <v>51</v>
      </c>
      <c r="B33" s="120"/>
      <c r="C33" s="120"/>
      <c r="D33" s="120"/>
      <c r="E33" s="120"/>
      <c r="F33" s="120"/>
      <c r="G33" s="120"/>
      <c r="H33" s="121"/>
      <c r="I33" s="122"/>
      <c r="J33" s="122"/>
      <c r="K33" s="122"/>
      <c r="L33" s="122"/>
      <c r="M33" s="122"/>
      <c r="N33" s="122"/>
      <c r="O33" s="122"/>
      <c r="P33" s="123"/>
    </row>
    <row r="34" ht="15.75" customHeight="1" spans="1:16" x14ac:dyDescent="0.25">
      <c r="A34" s="124"/>
      <c r="B34" s="79"/>
      <c r="C34" s="79"/>
      <c r="D34" s="79"/>
      <c r="E34" s="79"/>
      <c r="F34" s="79"/>
      <c r="H34" s="79"/>
      <c r="I34" s="79"/>
      <c r="J34" s="79"/>
      <c r="K34" s="79"/>
      <c r="L34" s="79"/>
      <c r="M34" s="79"/>
      <c r="N34" s="79"/>
      <c r="O34" s="79"/>
      <c r="P34" s="125"/>
    </row>
    <row r="35" ht="13.5" customHeight="1" spans="1:16" x14ac:dyDescent="0.25">
      <c r="A35" s="124"/>
      <c r="B35" s="79"/>
      <c r="C35" s="79"/>
      <c r="D35" s="79"/>
      <c r="E35" s="79"/>
      <c r="G35" s="79"/>
      <c r="H35" s="126" t="s">
        <v>52</v>
      </c>
      <c r="I35" s="126"/>
      <c r="J35" s="126"/>
      <c r="K35" s="126"/>
      <c r="L35" s="126"/>
      <c r="M35" s="126"/>
      <c r="N35" s="127">
        <f>Anverso!Q3</f>
        <v>0</v>
      </c>
      <c r="O35" s="127"/>
      <c r="P35" s="128" t="s">
        <v>9</v>
      </c>
    </row>
    <row r="36" ht="12" customHeight="1" spans="1:16" x14ac:dyDescent="0.25">
      <c r="A36" s="129" t="s">
        <v>53</v>
      </c>
      <c r="B36" s="129"/>
      <c r="C36" s="129"/>
      <c r="D36" s="129"/>
      <c r="E36" s="129"/>
      <c r="F36" s="129"/>
      <c r="G36" s="129"/>
      <c r="H36" s="130" t="s">
        <v>54</v>
      </c>
      <c r="I36" s="131" t="s">
        <v>55</v>
      </c>
      <c r="J36" s="131" t="s">
        <v>56</v>
      </c>
      <c r="K36" s="131" t="s">
        <v>57</v>
      </c>
      <c r="L36" s="131"/>
      <c r="M36" s="131" t="s">
        <v>58</v>
      </c>
      <c r="N36" s="131"/>
      <c r="O36" s="132" t="s">
        <v>12</v>
      </c>
      <c r="P36" s="132"/>
    </row>
    <row r="37" ht="31.5" customHeight="1" spans="1:16" x14ac:dyDescent="0.25">
      <c r="A37" s="129"/>
      <c r="B37" s="129"/>
      <c r="C37" s="129"/>
      <c r="D37" s="129"/>
      <c r="E37" s="129"/>
      <c r="F37" s="129"/>
      <c r="G37" s="129"/>
      <c r="H37" s="90" t="s">
        <v>59</v>
      </c>
      <c r="I37" s="133" t="s">
        <v>60</v>
      </c>
      <c r="J37" s="133" t="s">
        <v>61</v>
      </c>
      <c r="K37" s="133" t="s">
        <v>62</v>
      </c>
      <c r="L37" s="133"/>
      <c r="M37" s="133" t="s">
        <v>63</v>
      </c>
      <c r="N37" s="133"/>
      <c r="O37" s="134" t="s">
        <v>64</v>
      </c>
      <c r="P37" s="134"/>
    </row>
    <row r="38" ht="18" customHeight="1" spans="1:16" x14ac:dyDescent="0.25">
      <c r="A38" s="135" t="s">
        <v>65</v>
      </c>
      <c r="B38" s="135"/>
      <c r="C38" s="135"/>
      <c r="D38" s="135"/>
      <c r="E38" s="135"/>
      <c r="F38" s="135"/>
      <c r="G38" s="135"/>
      <c r="H38" s="136">
        <f>Autoliquidación!C20</f>
        <v>0</v>
      </c>
      <c r="I38" s="137"/>
      <c r="J38" s="138">
        <f>Autoliquidación!H20</f>
        <v>0</v>
      </c>
      <c r="K38" s="139">
        <f>Autoliquidación!J20</f>
        <v>0</v>
      </c>
      <c r="L38" s="139"/>
      <c r="M38" s="139">
        <f>Autoliquidación!L20</f>
        <v>0</v>
      </c>
      <c r="N38" s="139"/>
      <c r="O38" s="140">
        <f>Autoliquidación!M20</f>
        <v>0</v>
      </c>
      <c r="P38" s="140"/>
    </row>
    <row r="39" ht="18" customHeight="1" spans="1:16" x14ac:dyDescent="0.25">
      <c r="A39" s="141" t="s">
        <v>66</v>
      </c>
      <c r="B39" s="141"/>
      <c r="C39" s="141"/>
      <c r="D39" s="141"/>
      <c r="E39" s="141"/>
      <c r="F39" s="141"/>
      <c r="G39" s="141"/>
      <c r="H39" s="142">
        <f>Autoliquidación!C27</f>
        <v>0</v>
      </c>
      <c r="I39" s="138"/>
      <c r="J39" s="138">
        <f>Autoliquidación!H27</f>
        <v>0</v>
      </c>
      <c r="K39" s="143">
        <f>Autoliquidación!J27</f>
        <v>0</v>
      </c>
      <c r="L39" s="143"/>
      <c r="M39" s="143">
        <f>Autoliquidación!L27</f>
        <v>0</v>
      </c>
      <c r="N39" s="143"/>
      <c r="O39" s="144">
        <f>Autoliquidación!M27</f>
        <v>0</v>
      </c>
      <c r="P39" s="144"/>
    </row>
    <row r="40" ht="18" customHeight="1" spans="1:16" x14ac:dyDescent="0.25">
      <c r="A40" s="145" t="s">
        <v>67</v>
      </c>
      <c r="B40" s="145"/>
      <c r="C40" s="145"/>
      <c r="D40" s="145"/>
      <c r="E40" s="145"/>
      <c r="F40" s="146" t="s">
        <v>68</v>
      </c>
      <c r="G40" s="146"/>
      <c r="H40" s="142">
        <f>Autoliquidación!F4</f>
        <v>0</v>
      </c>
      <c r="I40" s="138">
        <v>0.26</v>
      </c>
      <c r="J40" s="138">
        <f>Autoliquidación!H4</f>
        <v>0</v>
      </c>
      <c r="K40" s="143">
        <f>Autoliquidación!J4</f>
        <v>0</v>
      </c>
      <c r="L40" s="143"/>
      <c r="M40" s="143">
        <f>Autoliquidación!L4</f>
        <v>0</v>
      </c>
      <c r="N40" s="143"/>
      <c r="O40" s="143">
        <f>Autoliquidación!M4</f>
      </c>
      <c r="P40" s="143"/>
    </row>
    <row r="41" ht="18" customHeight="1" spans="1:16" x14ac:dyDescent="0.25">
      <c r="A41" s="145"/>
      <c r="B41" s="145"/>
      <c r="C41" s="145"/>
      <c r="D41" s="145"/>
      <c r="E41" s="145"/>
      <c r="F41" s="146" t="s">
        <v>69</v>
      </c>
      <c r="G41" s="146"/>
      <c r="H41" s="147"/>
      <c r="I41" s="147"/>
      <c r="J41" s="148">
        <f>Autoliquidación!H5</f>
        <v>0</v>
      </c>
      <c r="K41" s="149"/>
      <c r="L41" s="149"/>
      <c r="M41" s="149"/>
      <c r="N41" s="149"/>
      <c r="O41" s="143">
        <f>Autoliquidación!M5</f>
        <v>0</v>
      </c>
      <c r="P41" s="143"/>
    </row>
    <row r="42" ht="18" customHeight="1" spans="1:16" x14ac:dyDescent="0.25">
      <c r="A42" s="145"/>
      <c r="B42" s="145"/>
      <c r="C42" s="145"/>
      <c r="D42" s="145"/>
      <c r="E42" s="145"/>
      <c r="F42" s="150" t="s">
        <v>70</v>
      </c>
      <c r="G42" s="150"/>
      <c r="H42" s="147"/>
      <c r="I42" s="147"/>
      <c r="J42" s="151">
        <f>Autoliquidación!H6+Autoliquidación!H7</f>
        <v>0</v>
      </c>
      <c r="K42" s="149"/>
      <c r="L42" s="149"/>
      <c r="M42" s="149"/>
      <c r="N42" s="149"/>
      <c r="O42" s="143">
        <f>Autoliquidación!M6+Autoliquidación!M7</f>
        <v>0</v>
      </c>
      <c r="P42" s="143"/>
    </row>
    <row r="43" ht="19.5" customHeight="1" spans="1:16" x14ac:dyDescent="0.25">
      <c r="A43" s="152" t="s">
        <v>71</v>
      </c>
      <c r="B43" s="152"/>
      <c r="C43" s="152"/>
      <c r="D43" s="152"/>
      <c r="E43" s="152"/>
      <c r="F43" s="152"/>
      <c r="G43" s="152"/>
      <c r="H43" s="152"/>
      <c r="I43" s="152"/>
      <c r="J43" s="153">
        <f>SUM(J38:J42)</f>
        <v>0</v>
      </c>
      <c r="K43" s="154">
        <f>SUM(K38:K40)</f>
        <v>0</v>
      </c>
      <c r="L43" s="154"/>
      <c r="M43" s="154">
        <f>SUM(M38:M40)</f>
        <v>0</v>
      </c>
      <c r="N43" s="154"/>
      <c r="O43" s="155">
        <f>SUM(O38:O42)</f>
        <v>0</v>
      </c>
      <c r="P43" s="155"/>
    </row>
    <row r="44" ht="14.25" customHeight="1" spans="1:16" x14ac:dyDescent="0.25">
      <c r="A44" s="156"/>
      <c r="B44" s="122"/>
      <c r="C44" s="22"/>
      <c r="D44" s="122"/>
      <c r="E44" s="122"/>
      <c r="F44" s="121"/>
      <c r="G44" s="157" t="s">
        <v>72</v>
      </c>
      <c r="H44" s="157"/>
      <c r="I44" s="158"/>
      <c r="J44" s="159" t="s">
        <v>73</v>
      </c>
      <c r="K44" s="159"/>
      <c r="L44" s="159"/>
      <c r="M44" s="159"/>
      <c r="N44" s="159"/>
      <c r="O44" s="159"/>
      <c r="P44" s="159"/>
    </row>
    <row r="45" ht="12.75" customHeight="1" spans="1:16" x14ac:dyDescent="0.25">
      <c r="A45" s="160" t="s">
        <v>74</v>
      </c>
      <c r="B45" s="160"/>
      <c r="C45" s="161">
        <f>IF(O43&gt;0,O43,"")</f>
      </c>
      <c r="D45" s="161"/>
      <c r="E45" s="161"/>
      <c r="F45" s="22"/>
      <c r="G45" s="162" t="s">
        <v>75</v>
      </c>
      <c r="H45" s="162"/>
      <c r="I45" s="163"/>
      <c r="J45" s="164" t="str">
        <f>IF(Anverso!H27&lt;&gt;0,"En "&amp;Anverso!H27&amp;",  a______________","")</f>
        <v>En TRUJILLO,  a______________</v>
      </c>
      <c r="K45" s="164"/>
      <c r="L45" s="164"/>
      <c r="M45" s="164"/>
      <c r="N45" s="164"/>
      <c r="O45" s="164"/>
      <c r="P45" s="164"/>
    </row>
    <row r="46" ht="13.5" customHeight="1" spans="1:16" x14ac:dyDescent="0.25">
      <c r="A46" s="160"/>
      <c r="B46" s="160"/>
      <c r="C46" s="161"/>
      <c r="D46" s="161"/>
      <c r="E46" s="161"/>
      <c r="G46" s="22"/>
      <c r="H46" s="22"/>
      <c r="I46" s="165"/>
      <c r="J46" s="22"/>
      <c r="K46" s="22"/>
      <c r="L46" s="22"/>
      <c r="M46" s="22"/>
      <c r="N46" s="22"/>
      <c r="O46" s="22"/>
      <c r="P46" s="166"/>
    </row>
    <row r="47" ht="15.75" customHeight="1" spans="1:16" x14ac:dyDescent="0.25">
      <c r="A47" s="167" t="s">
        <v>76</v>
      </c>
      <c r="B47" s="167"/>
      <c r="C47" s="22"/>
      <c r="D47" s="22"/>
      <c r="E47" s="22"/>
      <c r="F47" s="22"/>
      <c r="G47" s="22"/>
      <c r="H47" s="168"/>
      <c r="I47" s="168"/>
      <c r="J47" s="22"/>
      <c r="K47" s="22"/>
      <c r="L47" s="22"/>
      <c r="M47" s="22"/>
      <c r="N47" s="22"/>
      <c r="O47" s="22"/>
      <c r="P47" s="125"/>
    </row>
    <row r="48" ht="12.75" customHeight="1" spans="1:16" x14ac:dyDescent="0.25">
      <c r="A48" s="167"/>
      <c r="B48" s="167"/>
      <c r="C48" s="169" t="str">
        <f>IF(Anverso!O5&lt;&gt;"",Anverso!O5,"")</f>
        <v>222-B</v>
      </c>
      <c r="D48" s="169"/>
      <c r="E48" s="22"/>
      <c r="F48" s="22"/>
      <c r="G48" s="22"/>
      <c r="H48" s="79"/>
      <c r="I48" s="163"/>
      <c r="J48" s="22"/>
      <c r="K48" s="22"/>
      <c r="L48" s="22"/>
      <c r="M48" s="22"/>
      <c r="N48" s="22"/>
      <c r="O48" s="22"/>
      <c r="P48" s="125"/>
    </row>
    <row r="49" ht="13.5" customHeight="1" spans="1:16" x14ac:dyDescent="0.25">
      <c r="A49" s="167"/>
      <c r="B49" s="167"/>
      <c r="C49" s="169"/>
      <c r="D49" s="169"/>
      <c r="E49" s="22"/>
      <c r="F49" s="79"/>
      <c r="G49" s="79"/>
      <c r="H49" s="79"/>
      <c r="I49" s="163"/>
      <c r="J49" s="22"/>
      <c r="K49" s="22"/>
      <c r="L49" s="22"/>
      <c r="M49" s="22"/>
      <c r="N49" s="22"/>
      <c r="O49" s="22"/>
      <c r="P49" s="125"/>
    </row>
    <row r="50" ht="18.75" customHeight="1" spans="1:16" x14ac:dyDescent="0.25">
      <c r="A50" s="170"/>
      <c r="B50" s="171"/>
      <c r="C50" s="171"/>
      <c r="D50" s="171"/>
      <c r="E50" s="172" t="str">
        <f>IF(Anverso!J33&lt;&gt;"","Fdo.:"&amp;Anverso!J33,"")</f>
        <v>Fdo.:MARÍA MONTAÑA HERNÁNDEZ FERNÁNDEZ</v>
      </c>
      <c r="F50" s="172"/>
      <c r="G50" s="172"/>
      <c r="H50" s="172"/>
      <c r="I50" s="172"/>
      <c r="J50" s="173">
        <f>IF(Anverso!K3&lt;&gt;0,"Fdo.:"&amp;Anverso!K3,"")</f>
      </c>
      <c r="K50" s="173"/>
      <c r="L50" s="173"/>
      <c r="M50" s="173"/>
      <c r="N50" s="173"/>
      <c r="O50" s="173"/>
      <c r="P50" s="173"/>
    </row>
    <row r="51" ht="13.5" customHeight="1" x14ac:dyDescent="0.25"/>
  </sheetData>
  <mergeCells count="76">
    <mergeCell ref="A1:H1"/>
    <mergeCell ref="A2:P2"/>
    <mergeCell ref="A3:P3"/>
    <mergeCell ref="G4:P4"/>
    <mergeCell ref="A6:C6"/>
    <mergeCell ref="D6:F6"/>
    <mergeCell ref="G6:M7"/>
    <mergeCell ref="N6:N7"/>
    <mergeCell ref="O6:O7"/>
    <mergeCell ref="P6:P7"/>
    <mergeCell ref="G8:M8"/>
    <mergeCell ref="G9:M9"/>
    <mergeCell ref="G10:M10"/>
    <mergeCell ref="G11:M11"/>
    <mergeCell ref="G12:M12"/>
    <mergeCell ref="G13:M13"/>
    <mergeCell ref="G14:M14"/>
    <mergeCell ref="G15:M15"/>
    <mergeCell ref="G16:M16"/>
    <mergeCell ref="G17:M17"/>
    <mergeCell ref="G18:M18"/>
    <mergeCell ref="G19:M19"/>
    <mergeCell ref="G20:M20"/>
    <mergeCell ref="G21:M21"/>
    <mergeCell ref="G22:M22"/>
    <mergeCell ref="A23:M23"/>
    <mergeCell ref="B24:D24"/>
    <mergeCell ref="E24:G24"/>
    <mergeCell ref="I24:L24"/>
    <mergeCell ref="G25:J25"/>
    <mergeCell ref="H26:I26"/>
    <mergeCell ref="H30:K30"/>
    <mergeCell ref="A33:G33"/>
    <mergeCell ref="H35:M35"/>
    <mergeCell ref="N35:O35"/>
    <mergeCell ref="A36:G37"/>
    <mergeCell ref="K36:L36"/>
    <mergeCell ref="M36:N36"/>
    <mergeCell ref="O36:P36"/>
    <mergeCell ref="K37:L37"/>
    <mergeCell ref="M37:N37"/>
    <mergeCell ref="O37:P37"/>
    <mergeCell ref="A38:G38"/>
    <mergeCell ref="K38:L38"/>
    <mergeCell ref="M38:N38"/>
    <mergeCell ref="O38:P38"/>
    <mergeCell ref="A39:G39"/>
    <mergeCell ref="K39:L39"/>
    <mergeCell ref="M39:N39"/>
    <mergeCell ref="O39:P39"/>
    <mergeCell ref="A40:E42"/>
    <mergeCell ref="F40:G40"/>
    <mergeCell ref="K40:L40"/>
    <mergeCell ref="M40:N40"/>
    <mergeCell ref="O40:P40"/>
    <mergeCell ref="F41:G41"/>
    <mergeCell ref="H41:I42"/>
    <mergeCell ref="K41:N42"/>
    <mergeCell ref="O41:P41"/>
    <mergeCell ref="F42:G42"/>
    <mergeCell ref="O42:P42"/>
    <mergeCell ref="A43:I43"/>
    <mergeCell ref="K43:L43"/>
    <mergeCell ref="M43:N43"/>
    <mergeCell ref="O43:P43"/>
    <mergeCell ref="G44:H44"/>
    <mergeCell ref="J44:P44"/>
    <mergeCell ref="A45:B46"/>
    <mergeCell ref="C45:E46"/>
    <mergeCell ref="G45:H45"/>
    <mergeCell ref="J45:P45"/>
    <mergeCell ref="A47:B49"/>
    <mergeCell ref="H47:I47"/>
    <mergeCell ref="C48:D49"/>
    <mergeCell ref="E50:I50"/>
    <mergeCell ref="J50:P50"/>
  </mergeCells>
  <conditionalFormatting sqref="D8:D22">
    <cfRule type="expression" dxfId="3" priority="2">
      <formula>AND(A8&lt;&gt;"",D8="")</formula>
    </cfRule>
  </conditionalFormatting>
  <conditionalFormatting sqref="G4:P4">
    <cfRule type="cellIs" dxfId="4" priority="3" operator="equal">
      <formula>""</formula>
    </cfRule>
  </conditionalFormatting>
  <dataValidations count="6">
    <dataValidation type="whole" allowBlank="1" showInputMessage="1" showErrorMessage="1" errorStyle="stop" errorTitle="ERROR DECIMALES" error="DEBE INTRODUCIR NÚMEROS ENTEROS SIN DECIMALES " sqref="N10:N22">
      <formula1>0</formula1>
      <formula2>99999</formula2>
    </dataValidation>
    <dataValidation type="whole" allowBlank="1" showInputMessage="1" prompt="SOLO NUMERO ENTERO.   REDONDEE LOS DECIMALES " showErrorMessage="1" errorStyle="stop" errorTitle="ERROR DECIMALES" error="DEBE INTRODUCIR NÚMEROS ENTEROS SIN DECIMALES " sqref="N8">
      <formula1>0</formula1>
      <formula2>99999</formula2>
    </dataValidation>
    <dataValidation type="whole" allowBlank="1" showInputMessage="1" showErrorMessage="1" errorStyle="stop" errorTitle="ERROR DECIMALES" error="DEBE INTRODUCIR NÚMEROS ENTEROS SIN DECIMALES " sqref="N9:N22">
      <formula1>0</formula1>
      <formula2>99999</formula2>
    </dataValidation>
    <dataValidation type="whole" allowBlank="1" showInputMessage="1" showErrorMessage="1" errorStyle="stop" error="NO USE LETRA X  PONGA 1" sqref="O10:O18">
      <formula1>1</formula1>
      <formula2>2</formula2>
    </dataValidation>
    <dataValidation type="whole" allowBlank="1" showInputMessage="1" showErrorMessage="1" errorStyle="stop" error="NO USE LETRA PONGA EL 1" sqref="O8">
      <formula1>1</formula1>
      <formula2>2</formula2>
    </dataValidation>
    <dataValidation type="whole" allowBlank="1" showInputMessage="1" showErrorMessage="1" errorStyle="stop" error="NO USE LETRA X  PONGA 1" sqref="O9:O18">
      <formula1>1</formula1>
      <formula2>2</formula2>
    </dataValidation>
  </dataValidations>
  <pageMargins left="0.261111111111111" right="0.347916666666667" top="0.354166666666667" bottom="0.391666666666667" header="0.511811023622047" footer="0.0784722222222222"/>
  <pageSetup paperSize="9" orientation="portrait" horizontalDpi="300" verticalDpi="300" scale="100" fitToWidth="1" fitToHeight="1" firstPageNumber="1" useFirstPageNumber="1" copies="1"/>
  <headerFooter>
    <oddFooter>&amp;R&amp;8&amp;F&amp;N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Q135"/>
  <sheetViews>
    <sheetView workbookViewId="0" zoomScale="150" zoomScaleNormal="150" view="normal">
      <selection activeCell="G13" sqref="G13"/>
    </sheetView>
  </sheetViews>
  <sheetFormatPr defaultRowHeight="12.75" outlineLevelRow="0" outlineLevelCol="0" x14ac:dyDescent="0" defaultColWidth="11.43359375" customHeight="1"/>
  <cols>
    <col min="1" max="1" width="19.29" style="174" customWidth="1"/>
    <col min="2" max="2" width="11.86" style="174" customWidth="1"/>
    <col min="3" max="3" width="12.29" style="174" customWidth="1"/>
    <col min="4" max="4" width="3.86" style="174" customWidth="1"/>
    <col min="5" max="5" width="3.42" style="174" customWidth="1"/>
    <col min="6" max="6" width="2.71" style="174" customWidth="1"/>
    <col min="7" max="7" width="9.14" style="174" customWidth="1"/>
    <col min="8" max="10" width="13.7" style="174" customWidth="1"/>
    <col min="11" max="11" width="10.29" style="174" customWidth="1"/>
    <col min="12" max="13" width="13.7" style="174" customWidth="1"/>
    <col min="70" max="1024" width="11.42" style="174" customWidth="1"/>
  </cols>
  <sheetData>
    <row r="1" ht="28.5" customHeight="1" spans="1:13" x14ac:dyDescent="0.25">
      <c r="A1" s="175" t="s">
        <v>77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</row>
    <row r="2" ht="21" customHeight="1" spans="1:13" x14ac:dyDescent="0.25">
      <c r="A2" s="176" t="s">
        <v>78</v>
      </c>
      <c r="B2" s="177">
        <f>UPPER(Anverso!K3)</f>
      </c>
      <c r="C2" s="177"/>
      <c r="D2" s="177"/>
      <c r="E2" s="177"/>
      <c r="F2" s="178"/>
      <c r="G2" s="178"/>
      <c r="H2" s="178"/>
      <c r="I2" s="179" t="s">
        <v>79</v>
      </c>
      <c r="J2" s="180">
        <f>IF(Reverso!I24&lt;&gt;"",Reverso!I24,"")</f>
        <v>NaN</v>
      </c>
      <c r="K2" s="180"/>
      <c r="L2" s="180"/>
      <c r="M2" s="181"/>
    </row>
    <row r="3" ht="19.5" customHeight="1" spans="1:13" x14ac:dyDescent="0.25">
      <c r="A3" s="182" t="s">
        <v>67</v>
      </c>
      <c r="B3" s="182"/>
      <c r="C3" s="182"/>
      <c r="D3" s="182"/>
      <c r="E3" s="182"/>
      <c r="F3" s="183" t="s">
        <v>80</v>
      </c>
      <c r="G3" s="183"/>
      <c r="H3" s="183" t="s">
        <v>81</v>
      </c>
      <c r="I3" s="183" t="s">
        <v>82</v>
      </c>
      <c r="J3" s="183" t="s">
        <v>83</v>
      </c>
      <c r="K3" s="183" t="s">
        <v>84</v>
      </c>
      <c r="L3" s="183" t="s">
        <v>85</v>
      </c>
      <c r="M3" s="184" t="s">
        <v>86</v>
      </c>
    </row>
    <row r="4" ht="19.5" customHeight="1" spans="1:13" x14ac:dyDescent="0.25">
      <c r="A4" s="185"/>
      <c r="B4" s="186" t="s">
        <v>87</v>
      </c>
      <c r="C4" s="186"/>
      <c r="D4" s="186"/>
      <c r="E4" s="186"/>
      <c r="F4" s="187">
        <v>0</v>
      </c>
      <c r="G4" s="187"/>
      <c r="H4" s="188">
        <f>F4*0.26</f>
        <v>0</v>
      </c>
      <c r="I4" s="188">
        <f>F4*0.26</f>
        <v>0</v>
      </c>
      <c r="J4" s="188">
        <f>H4-I4</f>
        <v>0</v>
      </c>
      <c r="K4" s="189">
        <f>IF(F4&gt;0,Anverso!$Q$3,"")</f>
      </c>
      <c r="L4" s="188">
        <f>IF(SUM(D4:G4)&gt;0,ROUND(J4*K4/100,2),0)</f>
        <v>0</v>
      </c>
      <c r="M4" s="190">
        <f>IF(F4,H4-L4,"")</f>
      </c>
    </row>
    <row r="5" ht="15.75" customHeight="1" spans="1:13" x14ac:dyDescent="0.25">
      <c r="A5" s="191"/>
      <c r="B5" s="192"/>
      <c r="C5" s="193" t="s">
        <v>88</v>
      </c>
      <c r="D5" s="193"/>
      <c r="E5" s="193"/>
      <c r="F5" s="193"/>
      <c r="G5" s="193"/>
      <c r="H5" s="188"/>
      <c r="I5" s="188">
        <f>IF(H5,H5,"")</f>
      </c>
      <c r="J5" s="194"/>
      <c r="K5" s="195"/>
      <c r="L5" s="196">
        <v>0</v>
      </c>
      <c r="M5" s="197">
        <f>H5</f>
        <v>0</v>
      </c>
    </row>
    <row r="6" ht="15.75" customHeight="1" spans="1:13" x14ac:dyDescent="0.25">
      <c r="A6" s="191"/>
      <c r="B6" s="192"/>
      <c r="C6" s="198" t="s">
        <v>89</v>
      </c>
      <c r="D6" s="198"/>
      <c r="E6" s="198"/>
      <c r="F6" s="198"/>
      <c r="G6" s="198"/>
      <c r="H6" s="188"/>
      <c r="I6" s="188">
        <f>IF(H6,H6,"")</f>
      </c>
      <c r="J6" s="199"/>
      <c r="K6" s="200"/>
      <c r="L6" s="201">
        <v>0</v>
      </c>
      <c r="M6" s="197">
        <f>H6</f>
        <v>0</v>
      </c>
    </row>
    <row r="7" ht="15.75" customHeight="1" spans="1:13" x14ac:dyDescent="0.25">
      <c r="A7" s="191"/>
      <c r="B7" s="192"/>
      <c r="C7" s="198" t="s">
        <v>90</v>
      </c>
      <c r="D7" s="198"/>
      <c r="E7" s="198"/>
      <c r="F7" s="198"/>
      <c r="G7" s="198"/>
      <c r="H7" s="188"/>
      <c r="I7" s="188">
        <f>IF(H7,H7,"")</f>
      </c>
      <c r="J7" s="202"/>
      <c r="K7" s="203"/>
      <c r="L7" s="204">
        <v>0</v>
      </c>
      <c r="M7" s="197">
        <f>H7</f>
        <v>0</v>
      </c>
    </row>
    <row r="8" ht="19.5" customHeight="1" spans="1:13" x14ac:dyDescent="0.25">
      <c r="A8" s="205" t="s">
        <v>91</v>
      </c>
      <c r="B8" s="205"/>
      <c r="C8" s="205"/>
      <c r="D8" s="205"/>
      <c r="E8" s="205"/>
      <c r="F8" s="205"/>
      <c r="G8" s="205"/>
      <c r="H8" s="206">
        <f>SUM(H4:H7)</f>
        <v>0</v>
      </c>
      <c r="I8" s="206">
        <f>SUM(I4:I7)</f>
        <v>0</v>
      </c>
      <c r="J8" s="206">
        <f>SUM(J4:J7)</f>
        <v>0</v>
      </c>
      <c r="K8" s="207">
        <f>IF(K4="","",Anverso!$Q$3)</f>
      </c>
      <c r="L8" s="206">
        <f>SUM(L4:L7)</f>
        <v>0</v>
      </c>
      <c r="M8" s="208">
        <f>SUM(M4:M7)</f>
        <v>0</v>
      </c>
    </row>
    <row r="9" ht="12.75" customHeight="1" spans="1:13" x14ac:dyDescent="0.25">
      <c r="A9" s="209"/>
      <c r="B9" s="210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1"/>
    </row>
    <row r="10" ht="19.5" customHeight="1" spans="1:13" x14ac:dyDescent="0.25">
      <c r="A10" s="212" t="s">
        <v>65</v>
      </c>
      <c r="B10" s="212"/>
      <c r="C10" s="213"/>
      <c r="D10" s="183" t="s">
        <v>92</v>
      </c>
      <c r="E10" s="183"/>
      <c r="F10" s="183"/>
      <c r="G10" s="214" t="s">
        <v>93</v>
      </c>
      <c r="H10" s="183" t="s">
        <v>81</v>
      </c>
      <c r="I10" s="183" t="s">
        <v>82</v>
      </c>
      <c r="J10" s="183" t="s">
        <v>83</v>
      </c>
      <c r="K10" s="183" t="s">
        <v>84</v>
      </c>
      <c r="L10" s="183" t="s">
        <v>85</v>
      </c>
      <c r="M10" s="184" t="s">
        <v>86</v>
      </c>
    </row>
    <row r="11" ht="15" customHeight="1" spans="1:13" x14ac:dyDescent="0.25">
      <c r="A11" s="212"/>
      <c r="B11" s="212"/>
      <c r="C11" s="213"/>
      <c r="D11" s="183"/>
      <c r="E11" s="183"/>
      <c r="F11" s="183"/>
      <c r="G11" s="214"/>
      <c r="H11" s="215"/>
      <c r="I11" s="215"/>
      <c r="J11" s="216"/>
      <c r="K11" s="216"/>
      <c r="L11" s="216"/>
      <c r="M11" s="217"/>
    </row>
    <row r="12" ht="19.5" customHeight="1" spans="1:13" x14ac:dyDescent="0.25">
      <c r="A12" s="218" t="s">
        <v>94</v>
      </c>
      <c r="B12" s="219"/>
      <c r="C12" s="220"/>
      <c r="D12" s="221"/>
      <c r="E12" s="221"/>
      <c r="F12" s="221"/>
      <c r="G12" s="222"/>
      <c r="H12" s="188">
        <f>IF(D12="","",D12*45.68)</f>
      </c>
      <c r="I12" s="188">
        <f>IF(D12="","",D12*45.68)</f>
      </c>
      <c r="J12" s="188">
        <f>IF(H12="","",IF(H12-I12&gt;0,H12-I12,0))</f>
      </c>
      <c r="K12" s="223">
        <f>IF(SUM(C12:G12)&gt;0,Anverso!$Q$3,"")</f>
      </c>
      <c r="L12" s="188">
        <f>IF(SUM(D12:G12)&gt;0,ROUND(J12*K12/100,2),"")</f>
      </c>
      <c r="M12" s="190">
        <f>IF(H12="","",H12-L12)</f>
      </c>
    </row>
    <row r="13" ht="19.5" customHeight="1" spans="1:13" x14ac:dyDescent="0.25">
      <c r="A13" s="218" t="s">
        <v>95</v>
      </c>
      <c r="B13" s="219"/>
      <c r="C13" s="220"/>
      <c r="D13" s="224"/>
      <c r="E13" s="224"/>
      <c r="F13" s="224"/>
      <c r="G13" s="225"/>
      <c r="H13" s="188">
        <f>IF(G13="","",G13*26.67)</f>
      </c>
      <c r="I13" s="188">
        <f>IF(G13="","",G13*26.67)</f>
      </c>
      <c r="J13" s="188">
        <f>IF(H13="","",IF(H13-I13&gt;0,H13-I13,0))</f>
      </c>
      <c r="K13" s="223">
        <f>IF(SUM(C13:G13)&gt;0,Anverso!$Q$3,"")</f>
      </c>
      <c r="L13" s="188">
        <f>IF(SUM(D13:G13)&gt;0,ROUND(J13*K13/100,2),"")</f>
      </c>
      <c r="M13" s="190">
        <f>IF(H13="","",H13-L13)</f>
      </c>
    </row>
    <row r="14" ht="18.75" customHeight="1" spans="1:13" x14ac:dyDescent="0.25">
      <c r="A14" s="218" t="s">
        <v>96</v>
      </c>
      <c r="B14" s="219"/>
      <c r="C14" s="220"/>
      <c r="D14" s="221"/>
      <c r="E14" s="221"/>
      <c r="F14" s="221"/>
      <c r="G14" s="222"/>
      <c r="H14" s="188">
        <f>IF(D14="","",D14*45.68)</f>
      </c>
      <c r="I14" s="188">
        <f>IF(D14="","",D14*45.68)</f>
      </c>
      <c r="J14" s="188">
        <f>IF(H14="","",IF(H14-I14&gt;0,H14-I14,0))</f>
      </c>
      <c r="K14" s="223">
        <f>IF(SUM(C14:G14)&gt;0,Anverso!$Q$3,"")</f>
      </c>
      <c r="L14" s="188">
        <f>IF(SUM(D14:G14)&gt;0,ROUND(J14*K14/100,2),"")</f>
      </c>
      <c r="M14" s="190">
        <f>IF(H14="","",H14-L14)</f>
      </c>
    </row>
    <row r="15" ht="18.75" customHeight="1" spans="1:13" x14ac:dyDescent="0.25">
      <c r="A15" s="218" t="s">
        <v>97</v>
      </c>
      <c r="B15" s="219"/>
      <c r="C15" s="226"/>
      <c r="D15" s="224"/>
      <c r="E15" s="224"/>
      <c r="F15" s="224"/>
      <c r="G15" s="227"/>
      <c r="H15" s="188">
        <f>IF(G15="","",G15*26.67)</f>
      </c>
      <c r="I15" s="188">
        <f>IF(G15="","",G15*26.67)</f>
      </c>
      <c r="J15" s="188">
        <f>IF(H15="","",IF(H15-I15&gt;0,H15-I15,0))</f>
      </c>
      <c r="K15" s="223">
        <f>IF(SUM(C15:G15)&gt;0,Anverso!$Q$3,"")</f>
      </c>
      <c r="L15" s="188">
        <f>IF(SUM(D15:G15)&gt;0,ROUND(J15*K15/100,2),"")</f>
      </c>
      <c r="M15" s="190">
        <f>IF(H15="","",H15-L15)</f>
      </c>
    </row>
    <row r="16" ht="18.75" customHeight="1" spans="1:13" x14ac:dyDescent="0.25">
      <c r="A16" s="218" t="s">
        <v>98</v>
      </c>
      <c r="B16" s="219"/>
      <c r="C16" s="226"/>
      <c r="D16" s="221"/>
      <c r="E16" s="221"/>
      <c r="F16" s="221"/>
      <c r="G16" s="222"/>
      <c r="H16" s="188">
        <f>IF(D16="","",D16*91.35)</f>
      </c>
      <c r="I16" s="188">
        <f>IF(D16="","",D16*48.08)</f>
      </c>
      <c r="J16" s="188">
        <f>IF(H16="","",IF(H16-I16&gt;0,H16-I16,0))</f>
      </c>
      <c r="K16" s="223">
        <f>IF(SUM(C16:G16)&gt;0,Anverso!$Q$3,"")</f>
      </c>
      <c r="L16" s="188">
        <f>IF(SUM(D16:G16)&gt;0,ROUND(J16*K16/100,2),"")</f>
      </c>
      <c r="M16" s="190">
        <f>IF(H16="","",H16-L16)</f>
      </c>
    </row>
    <row r="17" ht="18.75" customHeight="1" spans="1:13" x14ac:dyDescent="0.25">
      <c r="A17" s="218" t="s">
        <v>99</v>
      </c>
      <c r="B17" s="219"/>
      <c r="C17" s="226"/>
      <c r="D17" s="224"/>
      <c r="E17" s="224"/>
      <c r="F17" s="224"/>
      <c r="G17" s="228"/>
      <c r="H17" s="188">
        <f>IF(G17="","",G17*53.34)</f>
      </c>
      <c r="I17" s="188">
        <f>IF(G17="","",G17*26.67)</f>
      </c>
      <c r="J17" s="188">
        <f>IF(H17="","",IF(H17-I17&gt;0,H17-I17,0))</f>
      </c>
      <c r="K17" s="223">
        <f>IF(SUM(C17:G17)&gt;0,Anverso!$Q$3,"")</f>
      </c>
      <c r="L17" s="188">
        <f>IF(SUM(C17:G17)&gt;0,ROUND(J17*K17/100,2),"")</f>
      </c>
      <c r="M17" s="190">
        <f>IF(H17="","",H17-L17)</f>
      </c>
    </row>
    <row r="18" ht="18.75" customHeight="1" spans="1:13" x14ac:dyDescent="0.25">
      <c r="A18" s="218" t="s">
        <v>100</v>
      </c>
      <c r="B18" s="229"/>
      <c r="C18" s="230"/>
      <c r="D18" s="221"/>
      <c r="E18" s="221"/>
      <c r="F18" s="221"/>
      <c r="G18" s="222"/>
      <c r="H18" s="188">
        <f>IF(D18="","",D18*91.35)</f>
      </c>
      <c r="I18" s="188">
        <f>IF(D18="","",D18*91.35)</f>
      </c>
      <c r="J18" s="188">
        <f>IF(H18="","",IF(H18-I18&gt;0,H18-I18,0))</f>
      </c>
      <c r="K18" s="223">
        <f>IF(SUM(C18:G18)&gt;0,Anverso!$Q$3,"")</f>
      </c>
      <c r="L18" s="188">
        <f>IF(SUM(C18:G18)&gt;0,ROUND(J18*K18/100,2),"")</f>
      </c>
      <c r="M18" s="190">
        <f>IF(H18="","",H18-L18)</f>
      </c>
    </row>
    <row r="19" ht="18.75" customHeight="1" spans="1:13" x14ac:dyDescent="0.25">
      <c r="A19" s="218" t="s">
        <v>101</v>
      </c>
      <c r="B19" s="229"/>
      <c r="C19" s="230"/>
      <c r="D19" s="224"/>
      <c r="E19" s="224"/>
      <c r="F19" s="224"/>
      <c r="G19" s="231"/>
      <c r="H19" s="188">
        <f>IF(G19="","",G19*53.34)</f>
      </c>
      <c r="I19" s="188">
        <f>IF(G19="","",G19*53.34)</f>
      </c>
      <c r="J19" s="188">
        <f>IF(H19="","",IF(H19-I19&gt;0,H19-I19,0))</f>
      </c>
      <c r="K19" s="223">
        <f>IF(SUM(C19:G19)&gt;0,Anverso!$Q$3,"")</f>
      </c>
      <c r="L19" s="188">
        <f>IF(SUM(C19:G19)&gt;0,ROUND(J19*K19/100,2),"")</f>
      </c>
      <c r="M19" s="190">
        <f>IF(H19="","",H19-L19)</f>
      </c>
    </row>
    <row r="20" ht="19.5" customHeight="1" spans="1:13" x14ac:dyDescent="0.25">
      <c r="A20" s="232" t="s">
        <v>102</v>
      </c>
      <c r="B20" s="232"/>
      <c r="C20" s="233">
        <f>SUM(C12:G15)+(SUM(C16:G19)*2)</f>
        <v>0</v>
      </c>
      <c r="D20" s="233"/>
      <c r="E20" s="233"/>
      <c r="F20" s="233"/>
      <c r="G20" s="233"/>
      <c r="H20" s="206">
        <f>SUM(H12:H19)</f>
        <v>0</v>
      </c>
      <c r="I20" s="206">
        <f>SUM(I12:I19)</f>
        <v>0</v>
      </c>
      <c r="J20" s="206">
        <f>SUM(J12:J19)</f>
        <v>0</v>
      </c>
      <c r="K20" s="223">
        <f>Anverso!$Q$3</f>
        <v>0</v>
      </c>
      <c r="L20" s="206">
        <f>SUM(L12:L19)</f>
        <v>0</v>
      </c>
      <c r="M20" s="206">
        <f>SUM(M12:M19)</f>
        <v>0</v>
      </c>
    </row>
    <row r="21" ht="15.75" customHeight="1" spans="1:13" x14ac:dyDescent="0.25">
      <c r="A21" s="234"/>
      <c r="B21" s="210"/>
      <c r="C21" s="210"/>
      <c r="D21" s="210"/>
      <c r="E21" s="210"/>
      <c r="F21" s="210"/>
      <c r="G21" s="210"/>
      <c r="H21" s="210"/>
      <c r="I21" s="210"/>
      <c r="J21" s="210"/>
      <c r="K21" s="210"/>
      <c r="L21" s="210"/>
      <c r="M21" s="211"/>
    </row>
    <row r="22" ht="19.5" customHeight="1" spans="1:13" x14ac:dyDescent="0.25">
      <c r="A22" s="235" t="s">
        <v>66</v>
      </c>
      <c r="B22" s="235"/>
      <c r="C22" s="183" t="s">
        <v>103</v>
      </c>
      <c r="D22" s="183"/>
      <c r="E22" s="236" t="s">
        <v>104</v>
      </c>
      <c r="F22" s="236"/>
      <c r="G22" s="236"/>
      <c r="H22" s="183" t="s">
        <v>81</v>
      </c>
      <c r="I22" s="183" t="s">
        <v>82</v>
      </c>
      <c r="J22" s="183" t="s">
        <v>83</v>
      </c>
      <c r="K22" s="183" t="s">
        <v>84</v>
      </c>
      <c r="L22" s="183" t="s">
        <v>85</v>
      </c>
      <c r="M22" s="184" t="s">
        <v>86</v>
      </c>
    </row>
    <row r="23" ht="19.5" customHeight="1" spans="1:13" x14ac:dyDescent="0.25">
      <c r="A23" s="237" t="s">
        <v>105</v>
      </c>
      <c r="B23" s="237"/>
      <c r="C23" s="228"/>
      <c r="D23" s="228"/>
      <c r="E23" s="230"/>
      <c r="F23" s="230"/>
      <c r="G23" s="230"/>
      <c r="H23" s="188">
        <f>IF(C23="","",IF(E23/C23&gt;102.56,C23*102.56,E23))</f>
      </c>
      <c r="I23" s="188">
        <f>IF(H23="","",H23)</f>
      </c>
      <c r="J23" s="188">
        <f>IF(E23&gt;0,IF(E23&lt;H23,H23-E23,0),"")</f>
      </c>
      <c r="K23" s="223">
        <f>IF(J23="","",Anverso!$Q$3)</f>
      </c>
      <c r="L23" s="188">
        <f>IF(E23&gt;0,ROUND(J23*K23/100,2),"")</f>
      </c>
      <c r="M23" s="238">
        <f>IF(E23,H23-L23,"")</f>
      </c>
    </row>
    <row r="24" ht="18.75" customHeight="1" spans="1:13" x14ac:dyDescent="0.25">
      <c r="A24" s="239"/>
      <c r="B24" s="240"/>
      <c r="C24" s="228"/>
      <c r="D24" s="228"/>
      <c r="E24" s="230"/>
      <c r="F24" s="230"/>
      <c r="G24" s="230"/>
      <c r="H24" s="188"/>
      <c r="I24" s="188"/>
      <c r="J24" s="188"/>
      <c r="K24" s="223"/>
      <c r="L24" s="188"/>
      <c r="M24" s="238"/>
    </row>
    <row r="25" ht="18.75" customHeight="1" spans="1:13" x14ac:dyDescent="0.25">
      <c r="A25" s="241" t="s">
        <v>106</v>
      </c>
      <c r="B25" s="241"/>
      <c r="C25" s="228"/>
      <c r="D25" s="228"/>
      <c r="E25" s="230"/>
      <c r="F25" s="230"/>
      <c r="G25" s="230"/>
      <c r="H25" s="188">
        <f>IF(C25="","",IF(E25/C25&gt;VLOOKUP(A25,P37:Q132,2,0),C25*VLOOKUP(A25,P37:Q135,2,0),E25))</f>
      </c>
      <c r="I25" s="188">
        <f>IF(E25&gt;0,IF(E25&gt;H25,H25,E25),"")</f>
      </c>
      <c r="J25" s="188">
        <f>IF(E25&gt;0,IF(E25&lt;H25,H25-E25,0),"")</f>
      </c>
      <c r="K25" s="223">
        <f>IF(J25="","",Anverso!$Q$3)</f>
      </c>
      <c r="L25" s="188">
        <f>IF(E25&gt;0,ROUND(J25*K25/100,2),"")</f>
      </c>
      <c r="M25" s="238">
        <f>IF(E25,H25-L25,"")</f>
      </c>
    </row>
    <row r="26" ht="19.5" customHeight="1" spans="1:13" x14ac:dyDescent="0.25">
      <c r="A26" s="242"/>
      <c r="B26" s="242"/>
      <c r="C26" s="228"/>
      <c r="D26" s="228"/>
      <c r="E26" s="230"/>
      <c r="F26" s="230"/>
      <c r="G26" s="230"/>
      <c r="H26" s="188"/>
      <c r="I26" s="188"/>
      <c r="J26" s="188"/>
      <c r="K26" s="223"/>
      <c r="L26" s="188"/>
      <c r="M26" s="238"/>
    </row>
    <row r="27" ht="19.5" customHeight="1" spans="1:13" x14ac:dyDescent="0.25">
      <c r="A27" s="232" t="s">
        <v>107</v>
      </c>
      <c r="B27" s="232"/>
      <c r="C27" s="233">
        <f>SUM(C23:C26)</f>
        <v>0</v>
      </c>
      <c r="D27" s="233"/>
      <c r="E27" s="243">
        <f>SUM(E23:E26)</f>
        <v>0</v>
      </c>
      <c r="F27" s="243"/>
      <c r="G27" s="243"/>
      <c r="H27" s="206">
        <f>SUM(H23:H26)</f>
        <v>0</v>
      </c>
      <c r="I27" s="206">
        <f>SUM(I23:I26)</f>
        <v>0</v>
      </c>
      <c r="J27" s="206">
        <f>IF(SUM(J23:J26)=0,0,SUM(J23:J26))</f>
        <v>0</v>
      </c>
      <c r="K27" s="223">
        <f>IF(C27&gt;0,Anverso!$Q$3,"")</f>
      </c>
      <c r="L27" s="206">
        <f>SUM(L23:L26)</f>
        <v>0</v>
      </c>
      <c r="M27" s="238">
        <f>SUM(M23:M26)</f>
        <v>0</v>
      </c>
    </row>
    <row r="28" ht="12" customHeight="1" spans="1:13" x14ac:dyDescent="0.25">
      <c r="A28" s="244"/>
      <c r="B28" s="245"/>
      <c r="C28" s="245"/>
      <c r="D28" s="245"/>
      <c r="E28" s="245"/>
      <c r="F28" s="245"/>
      <c r="G28" s="246"/>
      <c r="H28" s="246"/>
      <c r="I28" s="246"/>
      <c r="J28" s="246"/>
      <c r="K28" s="245"/>
      <c r="L28" s="246"/>
      <c r="M28" s="247"/>
    </row>
    <row r="29" ht="12.75" customHeight="1" spans="1:13" x14ac:dyDescent="0.25">
      <c r="A29" s="248"/>
      <c r="B29" s="249"/>
      <c r="C29" s="249"/>
      <c r="D29" s="249"/>
      <c r="E29" s="249"/>
      <c r="F29" s="249"/>
      <c r="G29" s="249"/>
      <c r="H29" s="250" t="s">
        <v>81</v>
      </c>
      <c r="I29" s="250" t="s">
        <v>82</v>
      </c>
      <c r="J29" s="250" t="s">
        <v>108</v>
      </c>
      <c r="K29" s="250" t="s">
        <v>84</v>
      </c>
      <c r="L29" s="250" t="s">
        <v>109</v>
      </c>
      <c r="M29" s="251" t="s">
        <v>86</v>
      </c>
    </row>
    <row r="30" ht="25.5" customHeight="1" spans="1:13" x14ac:dyDescent="0.25">
      <c r="A30" s="252" t="s">
        <v>71</v>
      </c>
      <c r="B30" s="252"/>
      <c r="C30" s="252"/>
      <c r="D30" s="252"/>
      <c r="E30" s="252"/>
      <c r="F30" s="252"/>
      <c r="G30" s="253"/>
      <c r="H30" s="254">
        <f>H8+H20+H27</f>
        <v>0</v>
      </c>
      <c r="I30" s="254">
        <f>I8+I20+I27</f>
        <v>0</v>
      </c>
      <c r="J30" s="255">
        <f>J8+J20+J27</f>
        <v>0</v>
      </c>
      <c r="K30" s="223">
        <f>Anverso!$Q$3</f>
        <v>0</v>
      </c>
      <c r="L30" s="255">
        <f>L8+L20+L27</f>
        <v>0</v>
      </c>
      <c r="M30" s="256">
        <f>M8+M20+M27</f>
        <v>0</v>
      </c>
    </row>
    <row r="31" ht="5.25" customHeight="1" spans="1:13" x14ac:dyDescent="0.25">
      <c r="A31" s="257"/>
      <c r="B31" s="258"/>
      <c r="C31" s="258"/>
      <c r="D31" s="258"/>
      <c r="E31" s="258"/>
      <c r="F31" s="258"/>
      <c r="G31" s="258"/>
      <c r="H31" s="258"/>
      <c r="I31" s="258"/>
      <c r="J31" s="258"/>
      <c r="K31" s="258"/>
      <c r="L31" s="258"/>
      <c r="M31" s="259"/>
    </row>
    <row r="32" ht="13.5" customHeight="1" spans="1:13" x14ac:dyDescent="0.25">
      <c r="A32" s="260"/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0"/>
    </row>
    <row r="35" ht="13.5" customHeight="1" x14ac:dyDescent="0.25"/>
    <row r="36" ht="114.75" customHeight="1" spans="8:17" x14ac:dyDescent="0.25">
      <c r="H36" s="261"/>
      <c r="I36" s="261"/>
      <c r="P36" s="262" t="s">
        <v>110</v>
      </c>
      <c r="Q36" s="262"/>
    </row>
    <row r="37" ht="15.75" customHeight="1" spans="8:17" x14ac:dyDescent="0.25">
      <c r="H37" s="263"/>
      <c r="I37" s="263"/>
      <c r="P37" s="264" t="s">
        <v>111</v>
      </c>
      <c r="Q37" s="265">
        <v>155.66</v>
      </c>
    </row>
    <row r="38" ht="15.75" customHeight="1" spans="8:17" x14ac:dyDescent="0.25">
      <c r="H38" s="263"/>
      <c r="I38" s="263"/>
      <c r="P38" s="264" t="s">
        <v>112</v>
      </c>
      <c r="Q38" s="265">
        <v>54.69</v>
      </c>
    </row>
    <row r="39" ht="15.75" customHeight="1" spans="8:17" x14ac:dyDescent="0.25">
      <c r="H39" s="263"/>
      <c r="I39" s="263"/>
      <c r="P39" s="264" t="s">
        <v>113</v>
      </c>
      <c r="Q39" s="265">
        <v>158.67</v>
      </c>
    </row>
    <row r="40" ht="30.75" customHeight="1" spans="8:17" x14ac:dyDescent="0.25">
      <c r="H40" s="263"/>
      <c r="I40" s="263"/>
      <c r="P40" s="264" t="s">
        <v>114</v>
      </c>
      <c r="Q40" s="265">
        <v>86.55</v>
      </c>
    </row>
    <row r="41" ht="15.75" customHeight="1" spans="8:17" x14ac:dyDescent="0.25">
      <c r="H41" s="263"/>
      <c r="I41" s="263"/>
      <c r="P41" s="264" t="s">
        <v>115</v>
      </c>
      <c r="Q41" s="265">
        <v>119</v>
      </c>
    </row>
    <row r="42" ht="30.75" customHeight="1" spans="8:17" x14ac:dyDescent="0.25">
      <c r="H42" s="263"/>
      <c r="I42" s="263"/>
      <c r="P42" s="264" t="s">
        <v>116</v>
      </c>
      <c r="Q42" s="265">
        <v>130.42</v>
      </c>
    </row>
    <row r="43" ht="15.75" customHeight="1" spans="8:17" x14ac:dyDescent="0.25">
      <c r="H43" s="263"/>
      <c r="I43" s="263"/>
      <c r="P43" s="264" t="s">
        <v>117</v>
      </c>
      <c r="Q43" s="265">
        <v>94.96</v>
      </c>
    </row>
    <row r="44" ht="15.75" customHeight="1" spans="8:17" x14ac:dyDescent="0.25">
      <c r="H44" s="263"/>
      <c r="I44" s="263"/>
      <c r="P44" s="264" t="s">
        <v>118</v>
      </c>
      <c r="Q44" s="265">
        <v>112.39</v>
      </c>
    </row>
    <row r="45" ht="15.75" customHeight="1" spans="8:17" x14ac:dyDescent="0.25">
      <c r="H45" s="263"/>
      <c r="I45" s="263"/>
      <c r="P45" s="264" t="s">
        <v>119</v>
      </c>
      <c r="Q45" s="265">
        <v>174.29</v>
      </c>
    </row>
    <row r="46" ht="15.75" customHeight="1" spans="8:17" x14ac:dyDescent="0.25">
      <c r="H46" s="263"/>
      <c r="I46" s="263"/>
      <c r="P46" s="264" t="s">
        <v>120</v>
      </c>
      <c r="Q46" s="265">
        <v>60.1</v>
      </c>
    </row>
    <row r="47" ht="45.75" customHeight="1" spans="8:17" x14ac:dyDescent="0.25">
      <c r="H47" s="263"/>
      <c r="I47" s="263"/>
      <c r="P47" s="264" t="s">
        <v>121</v>
      </c>
      <c r="Q47" s="265">
        <v>85.34</v>
      </c>
    </row>
    <row r="48" ht="15.75" customHeight="1" spans="8:17" x14ac:dyDescent="0.25">
      <c r="H48" s="263"/>
      <c r="I48" s="263"/>
      <c r="P48" s="264" t="s">
        <v>122</v>
      </c>
      <c r="Q48" s="265">
        <v>150.25</v>
      </c>
    </row>
    <row r="49" ht="15.75" customHeight="1" spans="8:17" x14ac:dyDescent="0.25">
      <c r="H49" s="263"/>
      <c r="I49" s="263"/>
      <c r="P49" s="264" t="s">
        <v>123</v>
      </c>
      <c r="Q49" s="265">
        <v>62.51</v>
      </c>
    </row>
    <row r="50" ht="15.75" customHeight="1" spans="8:17" x14ac:dyDescent="0.25">
      <c r="H50" s="263"/>
      <c r="I50" s="263"/>
      <c r="P50" s="264" t="s">
        <v>124</v>
      </c>
      <c r="Q50" s="265">
        <v>103.37</v>
      </c>
    </row>
    <row r="51" ht="15.75" customHeight="1" spans="8:17" x14ac:dyDescent="0.25">
      <c r="H51" s="263"/>
      <c r="I51" s="263"/>
      <c r="P51" s="264" t="s">
        <v>125</v>
      </c>
      <c r="Q51" s="265">
        <v>110.59</v>
      </c>
    </row>
    <row r="52" ht="15.75" customHeight="1" spans="8:17" x14ac:dyDescent="0.25">
      <c r="H52" s="263"/>
      <c r="I52" s="263"/>
      <c r="P52" s="264" t="s">
        <v>126</v>
      </c>
      <c r="Q52" s="265">
        <v>120.2</v>
      </c>
    </row>
    <row r="53" ht="15.75" customHeight="1" spans="8:17" x14ac:dyDescent="0.25">
      <c r="H53" s="263"/>
      <c r="I53" s="263"/>
      <c r="P53" s="264" t="s">
        <v>127</v>
      </c>
      <c r="Q53" s="265">
        <v>84.14</v>
      </c>
    </row>
    <row r="54" ht="15.75" customHeight="1" spans="8:17" x14ac:dyDescent="0.25">
      <c r="H54" s="263"/>
      <c r="I54" s="263"/>
      <c r="P54" s="264" t="s">
        <v>128</v>
      </c>
      <c r="Q54" s="265">
        <v>145.44</v>
      </c>
    </row>
    <row r="55" ht="15.75" customHeight="1" spans="8:17" x14ac:dyDescent="0.25">
      <c r="H55" s="263"/>
      <c r="I55" s="263"/>
      <c r="P55" s="264" t="s">
        <v>129</v>
      </c>
      <c r="Q55" s="265">
        <v>120.2</v>
      </c>
    </row>
    <row r="56" ht="30.75" customHeight="1" spans="8:17" x14ac:dyDescent="0.25">
      <c r="H56" s="263"/>
      <c r="I56" s="263"/>
      <c r="P56" s="264" t="s">
        <v>130</v>
      </c>
      <c r="Q56" s="265">
        <v>72.12</v>
      </c>
    </row>
    <row r="57" ht="30.75" customHeight="1" spans="8:17" x14ac:dyDescent="0.25">
      <c r="H57" s="263"/>
      <c r="I57" s="263"/>
      <c r="P57" s="264" t="s">
        <v>131</v>
      </c>
      <c r="Q57" s="265">
        <v>76.93</v>
      </c>
    </row>
    <row r="58" ht="15.75" customHeight="1" spans="8:17" x14ac:dyDescent="0.25">
      <c r="H58" s="263"/>
      <c r="I58" s="263"/>
      <c r="P58" s="264" t="s">
        <v>132</v>
      </c>
      <c r="Q58" s="265">
        <v>85.34</v>
      </c>
    </row>
    <row r="59" ht="15.75" customHeight="1" spans="8:17" x14ac:dyDescent="0.25">
      <c r="H59" s="263"/>
      <c r="I59" s="263"/>
      <c r="P59" s="264" t="s">
        <v>133</v>
      </c>
      <c r="Q59" s="265">
        <v>66.11</v>
      </c>
    </row>
    <row r="60" ht="30.75" customHeight="1" spans="8:17" x14ac:dyDescent="0.25">
      <c r="H60" s="263"/>
      <c r="I60" s="263"/>
      <c r="P60" s="264" t="s">
        <v>134</v>
      </c>
      <c r="Q60" s="265">
        <v>144.24</v>
      </c>
    </row>
    <row r="61" ht="45.75" customHeight="1" spans="8:17" x14ac:dyDescent="0.25">
      <c r="H61" s="263"/>
      <c r="I61" s="263"/>
      <c r="P61" s="264" t="s">
        <v>135</v>
      </c>
      <c r="Q61" s="265">
        <v>75.13</v>
      </c>
    </row>
    <row r="62" ht="15.75" customHeight="1" spans="8:17" x14ac:dyDescent="0.25">
      <c r="H62" s="263"/>
      <c r="I62" s="263"/>
      <c r="P62" s="264" t="s">
        <v>136</v>
      </c>
      <c r="Q62" s="265">
        <v>75.73</v>
      </c>
    </row>
    <row r="63" ht="15.75" customHeight="1" spans="8:17" x14ac:dyDescent="0.25">
      <c r="H63" s="263"/>
      <c r="I63" s="263"/>
      <c r="P63" s="264" t="s">
        <v>137</v>
      </c>
      <c r="Q63" s="265">
        <v>106.98</v>
      </c>
    </row>
    <row r="64" ht="30.75" customHeight="1" spans="8:17" x14ac:dyDescent="0.25">
      <c r="H64" s="263"/>
      <c r="I64" s="263"/>
      <c r="P64" s="264" t="s">
        <v>138</v>
      </c>
      <c r="Q64" s="265">
        <v>77.53</v>
      </c>
    </row>
    <row r="65" ht="45.75" customHeight="1" spans="8:17" x14ac:dyDescent="0.25">
      <c r="H65" s="263"/>
      <c r="I65" s="263"/>
      <c r="P65" s="264" t="s">
        <v>139</v>
      </c>
      <c r="Q65" s="265">
        <v>119</v>
      </c>
    </row>
    <row r="66" ht="30.75" customHeight="1" spans="8:17" x14ac:dyDescent="0.25">
      <c r="H66" s="263"/>
      <c r="I66" s="263"/>
      <c r="P66" s="264" t="s">
        <v>140</v>
      </c>
      <c r="Q66" s="265">
        <v>88.95</v>
      </c>
    </row>
    <row r="67" ht="30.75" customHeight="1" spans="8:17" x14ac:dyDescent="0.25">
      <c r="H67" s="263"/>
      <c r="I67" s="263"/>
      <c r="P67" s="264" t="s">
        <v>141</v>
      </c>
      <c r="Q67" s="265">
        <v>168.28</v>
      </c>
    </row>
    <row r="68" ht="15.75" customHeight="1" spans="8:17" x14ac:dyDescent="0.25">
      <c r="H68" s="263"/>
      <c r="I68" s="263"/>
      <c r="P68" s="264" t="s">
        <v>142</v>
      </c>
      <c r="Q68" s="265">
        <v>140.04</v>
      </c>
    </row>
    <row r="69" ht="15.75" customHeight="1" spans="8:17" x14ac:dyDescent="0.25">
      <c r="H69" s="263"/>
      <c r="I69" s="263"/>
      <c r="P69" s="264" t="s">
        <v>143</v>
      </c>
      <c r="Q69" s="265">
        <v>84.14</v>
      </c>
    </row>
    <row r="70" ht="15.75" customHeight="1" spans="8:17" x14ac:dyDescent="0.25">
      <c r="H70" s="263"/>
      <c r="I70" s="263"/>
      <c r="P70" s="264" t="s">
        <v>144</v>
      </c>
      <c r="Q70" s="265">
        <v>134.63</v>
      </c>
    </row>
    <row r="71" ht="15.75" customHeight="1" spans="8:17" x14ac:dyDescent="0.25">
      <c r="H71" s="263"/>
      <c r="I71" s="263"/>
      <c r="P71" s="264" t="s">
        <v>145</v>
      </c>
      <c r="Q71" s="265">
        <v>144.24</v>
      </c>
    </row>
    <row r="72" ht="15.75" customHeight="1" spans="8:17" x14ac:dyDescent="0.25">
      <c r="H72" s="263"/>
      <c r="I72" s="263"/>
      <c r="P72" s="264" t="s">
        <v>146</v>
      </c>
      <c r="Q72" s="265">
        <v>117.8</v>
      </c>
    </row>
    <row r="73" ht="15.75" customHeight="1" spans="8:17" x14ac:dyDescent="0.25">
      <c r="H73" s="263"/>
      <c r="I73" s="263"/>
      <c r="P73" s="264" t="s">
        <v>147</v>
      </c>
      <c r="Q73" s="265">
        <v>78.13</v>
      </c>
    </row>
    <row r="74" ht="15.75" customHeight="1" spans="8:17" x14ac:dyDescent="0.25">
      <c r="H74" s="263"/>
      <c r="I74" s="263"/>
      <c r="P74" s="264" t="s">
        <v>148</v>
      </c>
      <c r="Q74" s="265">
        <v>81.14</v>
      </c>
    </row>
    <row r="75" ht="30.75" customHeight="1" spans="8:17" x14ac:dyDescent="0.25">
      <c r="H75" s="263"/>
      <c r="I75" s="263"/>
      <c r="P75" s="264" t="s">
        <v>149</v>
      </c>
      <c r="Q75" s="265">
        <v>105.18</v>
      </c>
    </row>
    <row r="76" ht="45.75" customHeight="1" spans="8:17" x14ac:dyDescent="0.25">
      <c r="H76" s="263"/>
      <c r="I76" s="263"/>
      <c r="P76" s="264" t="s">
        <v>150</v>
      </c>
      <c r="Q76" s="265">
        <v>102.77</v>
      </c>
    </row>
    <row r="77" ht="15.75" customHeight="1" spans="8:17" x14ac:dyDescent="0.25">
      <c r="H77" s="263"/>
      <c r="I77" s="263"/>
      <c r="P77" s="264" t="s">
        <v>151</v>
      </c>
      <c r="Q77" s="265">
        <v>52.89</v>
      </c>
    </row>
    <row r="78" ht="30.75" customHeight="1" spans="8:17" x14ac:dyDescent="0.25">
      <c r="H78" s="263"/>
      <c r="I78" s="263"/>
      <c r="P78" s="264" t="s">
        <v>152</v>
      </c>
      <c r="Q78" s="265">
        <v>81.74</v>
      </c>
    </row>
    <row r="79" ht="30.75" customHeight="1" spans="8:17" x14ac:dyDescent="0.25">
      <c r="H79" s="263"/>
      <c r="I79" s="263"/>
      <c r="P79" s="264" t="s">
        <v>153</v>
      </c>
      <c r="Q79" s="265">
        <v>142.44</v>
      </c>
    </row>
    <row r="80" ht="15.75" customHeight="1" spans="8:17" x14ac:dyDescent="0.25">
      <c r="H80" s="263"/>
      <c r="I80" s="263"/>
      <c r="P80" s="264" t="s">
        <v>154</v>
      </c>
      <c r="Q80" s="265">
        <v>135.23</v>
      </c>
    </row>
    <row r="81" ht="15.75" customHeight="1" spans="8:17" x14ac:dyDescent="0.25">
      <c r="H81" s="263"/>
      <c r="I81" s="263"/>
      <c r="P81" s="264" t="s">
        <v>155</v>
      </c>
      <c r="Q81" s="265">
        <v>117.2</v>
      </c>
    </row>
    <row r="82" ht="30.75" customHeight="1" spans="8:17" x14ac:dyDescent="0.25">
      <c r="H82" s="263"/>
      <c r="I82" s="263"/>
      <c r="P82" s="264" t="s">
        <v>156</v>
      </c>
      <c r="Q82" s="265">
        <v>120.2</v>
      </c>
    </row>
    <row r="83" ht="15.75" customHeight="1" spans="8:17" x14ac:dyDescent="0.25">
      <c r="H83" s="263"/>
      <c r="I83" s="263"/>
      <c r="P83" s="264" t="s">
        <v>157</v>
      </c>
      <c r="Q83" s="265">
        <v>77.53</v>
      </c>
    </row>
    <row r="84" ht="15.75" customHeight="1" spans="8:17" x14ac:dyDescent="0.25">
      <c r="H84" s="263"/>
      <c r="I84" s="263"/>
      <c r="P84" s="264" t="s">
        <v>158</v>
      </c>
      <c r="Q84" s="265">
        <v>94.36</v>
      </c>
    </row>
    <row r="85" ht="15.75" customHeight="1" spans="8:17" x14ac:dyDescent="0.25">
      <c r="H85" s="263"/>
      <c r="I85" s="263"/>
      <c r="P85" s="264" t="s">
        <v>159</v>
      </c>
      <c r="Q85" s="265">
        <v>109.38</v>
      </c>
    </row>
    <row r="86" ht="15.75" customHeight="1" spans="8:17" x14ac:dyDescent="0.25">
      <c r="H86" s="263"/>
      <c r="I86" s="263"/>
      <c r="P86" s="264" t="s">
        <v>160</v>
      </c>
      <c r="Q86" s="265">
        <v>108.78</v>
      </c>
    </row>
    <row r="87" ht="15.75" customHeight="1" spans="8:17" x14ac:dyDescent="0.25">
      <c r="H87" s="263"/>
      <c r="I87" s="263"/>
      <c r="P87" s="264" t="s">
        <v>161</v>
      </c>
      <c r="Q87" s="265">
        <v>153.86</v>
      </c>
    </row>
    <row r="88" ht="15.75" customHeight="1" spans="8:17" x14ac:dyDescent="0.25">
      <c r="H88" s="263"/>
      <c r="I88" s="263"/>
      <c r="P88" s="264" t="s">
        <v>162</v>
      </c>
      <c r="Q88" s="265">
        <v>90.15</v>
      </c>
    </row>
    <row r="89" ht="15.75" customHeight="1" spans="8:17" x14ac:dyDescent="0.25">
      <c r="H89" s="263"/>
      <c r="I89" s="263"/>
      <c r="P89" s="264" t="s">
        <v>163</v>
      </c>
      <c r="Q89" s="265">
        <v>187.52</v>
      </c>
    </row>
    <row r="90" ht="15.75" customHeight="1" spans="8:17" x14ac:dyDescent="0.25">
      <c r="H90" s="263"/>
      <c r="I90" s="263"/>
      <c r="P90" s="264" t="s">
        <v>164</v>
      </c>
      <c r="Q90" s="265">
        <v>109.38</v>
      </c>
    </row>
    <row r="91" ht="15.75" customHeight="1" spans="8:17" x14ac:dyDescent="0.25">
      <c r="H91" s="263"/>
      <c r="I91" s="263"/>
      <c r="P91" s="264" t="s">
        <v>165</v>
      </c>
      <c r="Q91" s="265">
        <v>96.76</v>
      </c>
    </row>
    <row r="92" ht="15.75" customHeight="1" spans="8:17" x14ac:dyDescent="0.25">
      <c r="H92" s="263"/>
      <c r="I92" s="263"/>
      <c r="P92" s="264" t="s">
        <v>166</v>
      </c>
      <c r="Q92" s="265">
        <v>144.24</v>
      </c>
    </row>
    <row r="93" ht="15.75" customHeight="1" spans="8:17" x14ac:dyDescent="0.25">
      <c r="H93" s="263"/>
      <c r="I93" s="263"/>
      <c r="P93" s="264" t="s">
        <v>167</v>
      </c>
      <c r="Q93" s="265">
        <v>135.23</v>
      </c>
    </row>
    <row r="94" ht="15.75" customHeight="1" spans="8:17" x14ac:dyDescent="0.25">
      <c r="H94" s="263"/>
      <c r="I94" s="263"/>
      <c r="P94" s="264" t="s">
        <v>168</v>
      </c>
      <c r="Q94" s="265">
        <v>119.6</v>
      </c>
    </row>
    <row r="95" ht="30.75" customHeight="1" spans="8:17" x14ac:dyDescent="0.25">
      <c r="H95" s="263"/>
      <c r="I95" s="263"/>
      <c r="P95" s="264" t="s">
        <v>169</v>
      </c>
      <c r="Q95" s="265">
        <v>159.27</v>
      </c>
    </row>
    <row r="96" ht="15.75" customHeight="1" spans="8:17" x14ac:dyDescent="0.25">
      <c r="H96" s="263"/>
      <c r="I96" s="263"/>
      <c r="P96" s="264" t="s">
        <v>170</v>
      </c>
      <c r="Q96" s="265">
        <v>108.18</v>
      </c>
    </row>
    <row r="97" ht="15.75" customHeight="1" spans="8:17" x14ac:dyDescent="0.25">
      <c r="H97" s="263"/>
      <c r="I97" s="263"/>
      <c r="P97" s="264" t="s">
        <v>171</v>
      </c>
      <c r="Q97" s="265">
        <v>54.09</v>
      </c>
    </row>
    <row r="98" ht="30.75" customHeight="1" spans="8:17" x14ac:dyDescent="0.25">
      <c r="H98" s="263"/>
      <c r="I98" s="263"/>
      <c r="P98" s="264" t="s">
        <v>172</v>
      </c>
      <c r="Q98" s="265">
        <v>116.6</v>
      </c>
    </row>
    <row r="99" ht="30.75" customHeight="1" spans="8:17" x14ac:dyDescent="0.25">
      <c r="H99" s="263"/>
      <c r="I99" s="263"/>
      <c r="P99" s="264" t="s">
        <v>173</v>
      </c>
      <c r="Q99" s="265">
        <v>57.7</v>
      </c>
    </row>
    <row r="100" ht="15.75" customHeight="1" spans="8:17" x14ac:dyDescent="0.25">
      <c r="H100" s="263"/>
      <c r="I100" s="263"/>
      <c r="P100" s="264" t="s">
        <v>174</v>
      </c>
      <c r="Q100" s="265">
        <v>96.16</v>
      </c>
    </row>
    <row r="101" ht="30.75" customHeight="1" spans="8:17" x14ac:dyDescent="0.25">
      <c r="H101" s="263"/>
      <c r="I101" s="263"/>
      <c r="P101" s="264" t="s">
        <v>175</v>
      </c>
      <c r="Q101" s="265">
        <v>78.73</v>
      </c>
    </row>
    <row r="102" ht="30.75" customHeight="1" spans="8:17" x14ac:dyDescent="0.25">
      <c r="H102" s="263"/>
      <c r="I102" s="263"/>
      <c r="P102" s="264" t="s">
        <v>176</v>
      </c>
      <c r="Q102" s="265">
        <v>110.59</v>
      </c>
    </row>
    <row r="103" ht="15.75" customHeight="1" spans="8:17" x14ac:dyDescent="0.25">
      <c r="H103" s="263"/>
      <c r="I103" s="263"/>
      <c r="P103" s="264" t="s">
        <v>177</v>
      </c>
      <c r="Q103" s="265">
        <v>138.23</v>
      </c>
    </row>
    <row r="104" ht="15.75" customHeight="1" spans="8:17" x14ac:dyDescent="0.25">
      <c r="H104" s="263"/>
      <c r="I104" s="263"/>
      <c r="P104" s="264" t="s">
        <v>178</v>
      </c>
      <c r="Q104" s="265">
        <v>156.26</v>
      </c>
    </row>
    <row r="105" ht="30.75" customHeight="1" spans="8:17" x14ac:dyDescent="0.25">
      <c r="H105" s="263"/>
      <c r="I105" s="263"/>
      <c r="P105" s="264" t="s">
        <v>179</v>
      </c>
      <c r="Q105" s="265">
        <v>76.93</v>
      </c>
    </row>
    <row r="106" ht="30.75" customHeight="1" spans="8:17" x14ac:dyDescent="0.25">
      <c r="H106" s="263"/>
      <c r="I106" s="263"/>
      <c r="P106" s="264" t="s">
        <v>180</v>
      </c>
      <c r="Q106" s="265">
        <v>149.05</v>
      </c>
    </row>
    <row r="107" ht="15.75" customHeight="1" spans="8:17" x14ac:dyDescent="0.25">
      <c r="H107" s="263"/>
      <c r="I107" s="263"/>
      <c r="P107" s="264" t="s">
        <v>181</v>
      </c>
      <c r="Q107" s="265">
        <v>68.52</v>
      </c>
    </row>
    <row r="108" ht="15.75" customHeight="1" spans="8:17" x14ac:dyDescent="0.25">
      <c r="H108" s="263"/>
      <c r="I108" s="263"/>
      <c r="P108" s="264" t="s">
        <v>182</v>
      </c>
      <c r="Q108" s="265">
        <v>75.73</v>
      </c>
    </row>
    <row r="109" ht="30.75" customHeight="1" spans="8:17" x14ac:dyDescent="0.25">
      <c r="H109" s="263"/>
      <c r="I109" s="263"/>
      <c r="P109" s="264" t="s">
        <v>183</v>
      </c>
      <c r="Q109" s="265">
        <v>53.49</v>
      </c>
    </row>
    <row r="110" ht="15.75" customHeight="1" spans="8:17" x14ac:dyDescent="0.25">
      <c r="H110" s="263"/>
      <c r="I110" s="263"/>
      <c r="P110" s="264" t="s">
        <v>184</v>
      </c>
      <c r="Q110" s="265">
        <v>93.76</v>
      </c>
    </row>
    <row r="111" ht="15.75" customHeight="1" spans="8:17" x14ac:dyDescent="0.25">
      <c r="H111" s="263"/>
      <c r="I111" s="263"/>
      <c r="P111" s="264" t="s">
        <v>185</v>
      </c>
      <c r="Q111" s="265">
        <v>117.2</v>
      </c>
    </row>
    <row r="112" ht="15.75" customHeight="1" spans="8:17" x14ac:dyDescent="0.25">
      <c r="H112" s="263"/>
      <c r="I112" s="263"/>
      <c r="P112" s="264" t="s">
        <v>186</v>
      </c>
      <c r="Q112" s="265">
        <v>114.19</v>
      </c>
    </row>
    <row r="113" ht="30.75" customHeight="1" spans="8:17" x14ac:dyDescent="0.25">
      <c r="H113" s="263"/>
      <c r="I113" s="263"/>
      <c r="P113" s="264" t="s">
        <v>187</v>
      </c>
      <c r="Q113" s="265">
        <v>183.91</v>
      </c>
    </row>
    <row r="114" ht="30.75" customHeight="1" spans="8:17" x14ac:dyDescent="0.25">
      <c r="H114" s="263"/>
      <c r="I114" s="263"/>
      <c r="P114" s="264" t="s">
        <v>188</v>
      </c>
      <c r="Q114" s="265">
        <v>119</v>
      </c>
    </row>
    <row r="115" ht="15.75" customHeight="1" spans="8:17" x14ac:dyDescent="0.25">
      <c r="H115" s="263"/>
      <c r="I115" s="263"/>
      <c r="P115" s="264" t="s">
        <v>189</v>
      </c>
      <c r="Q115" s="265">
        <v>149.05</v>
      </c>
    </row>
    <row r="116" ht="15.75" customHeight="1" spans="8:17" x14ac:dyDescent="0.25">
      <c r="H116" s="263"/>
      <c r="I116" s="263"/>
      <c r="P116" s="264" t="s">
        <v>190</v>
      </c>
      <c r="Q116" s="265">
        <v>267.45</v>
      </c>
    </row>
    <row r="117" ht="15.75" customHeight="1" spans="8:17" x14ac:dyDescent="0.25">
      <c r="H117" s="263"/>
      <c r="I117" s="263"/>
      <c r="P117" s="264" t="s">
        <v>191</v>
      </c>
      <c r="Q117" s="265">
        <v>79.33</v>
      </c>
    </row>
    <row r="118" ht="15.75" customHeight="1" spans="8:17" x14ac:dyDescent="0.25">
      <c r="H118" s="263"/>
      <c r="I118" s="263"/>
      <c r="P118" s="264" t="s">
        <v>192</v>
      </c>
      <c r="Q118" s="265">
        <v>99.77</v>
      </c>
    </row>
    <row r="119" ht="15.75" customHeight="1" spans="8:17" x14ac:dyDescent="0.25">
      <c r="H119" s="263"/>
      <c r="I119" s="263"/>
      <c r="P119" s="264" t="s">
        <v>193</v>
      </c>
      <c r="Q119" s="265">
        <v>97.96</v>
      </c>
    </row>
    <row r="120" ht="30.75" customHeight="1" spans="8:17" x14ac:dyDescent="0.25">
      <c r="H120" s="263"/>
      <c r="I120" s="263"/>
      <c r="P120" s="264" t="s">
        <v>194</v>
      </c>
      <c r="Q120" s="265">
        <v>75.13</v>
      </c>
    </row>
    <row r="121" ht="15.75" customHeight="1" spans="8:17" x14ac:dyDescent="0.25">
      <c r="H121" s="263"/>
      <c r="I121" s="263"/>
      <c r="P121" s="264" t="s">
        <v>195</v>
      </c>
      <c r="Q121" s="265">
        <v>173.09</v>
      </c>
    </row>
    <row r="122" ht="15.75" customHeight="1" spans="8:17" x14ac:dyDescent="0.25">
      <c r="H122" s="263"/>
      <c r="I122" s="263"/>
      <c r="P122" s="264" t="s">
        <v>196</v>
      </c>
      <c r="Q122" s="265">
        <v>174.29</v>
      </c>
    </row>
    <row r="123" ht="15.75" customHeight="1" spans="8:17" x14ac:dyDescent="0.25">
      <c r="H123" s="263"/>
      <c r="I123" s="263"/>
      <c r="P123" s="264" t="s">
        <v>197</v>
      </c>
      <c r="Q123" s="265">
        <v>81.14</v>
      </c>
    </row>
    <row r="124" ht="15.75" customHeight="1" spans="8:17" x14ac:dyDescent="0.25">
      <c r="H124" s="263"/>
      <c r="I124" s="263"/>
      <c r="P124" s="264" t="s">
        <v>198</v>
      </c>
      <c r="Q124" s="265">
        <v>96.16</v>
      </c>
    </row>
    <row r="125" ht="15.75" customHeight="1" spans="8:17" x14ac:dyDescent="0.25">
      <c r="H125" s="263"/>
      <c r="I125" s="263"/>
      <c r="P125" s="264" t="s">
        <v>199</v>
      </c>
      <c r="Q125" s="265">
        <v>90.15</v>
      </c>
    </row>
    <row r="126" ht="15.75" customHeight="1" spans="8:17" x14ac:dyDescent="0.25">
      <c r="H126" s="263"/>
      <c r="I126" s="263"/>
      <c r="P126" s="264" t="s">
        <v>200</v>
      </c>
      <c r="Q126" s="265">
        <v>60.7</v>
      </c>
    </row>
    <row r="127" ht="15.75" customHeight="1" spans="8:17" x14ac:dyDescent="0.25">
      <c r="H127" s="263"/>
      <c r="I127" s="263"/>
      <c r="P127" s="264" t="s">
        <v>201</v>
      </c>
      <c r="Q127" s="265">
        <v>72.12</v>
      </c>
    </row>
    <row r="128" ht="15.75" customHeight="1" spans="8:17" x14ac:dyDescent="0.25">
      <c r="H128" s="263"/>
      <c r="I128" s="263"/>
      <c r="P128" s="264" t="s">
        <v>202</v>
      </c>
      <c r="Q128" s="265">
        <v>67.31</v>
      </c>
    </row>
    <row r="129" ht="30.75" customHeight="1" spans="8:17" x14ac:dyDescent="0.25">
      <c r="H129" s="263"/>
      <c r="I129" s="263"/>
      <c r="P129" s="264" t="s">
        <v>203</v>
      </c>
      <c r="Q129" s="265">
        <v>91.35</v>
      </c>
    </row>
    <row r="130" ht="15.75" customHeight="1" spans="8:17" x14ac:dyDescent="0.25">
      <c r="H130" s="263"/>
      <c r="I130" s="263"/>
      <c r="P130" s="264" t="s">
        <v>204</v>
      </c>
      <c r="Q130" s="265">
        <v>156.26</v>
      </c>
    </row>
    <row r="131" ht="45.75" customHeight="1" spans="8:17" x14ac:dyDescent="0.25">
      <c r="H131" s="263"/>
      <c r="I131" s="263"/>
      <c r="P131" s="264" t="s">
        <v>205</v>
      </c>
      <c r="Q131" s="265">
        <v>115.39</v>
      </c>
    </row>
    <row r="132" ht="30.75" customHeight="1" spans="8:17" x14ac:dyDescent="0.25">
      <c r="H132" s="263"/>
      <c r="I132" s="263"/>
      <c r="P132" s="264" t="s">
        <v>206</v>
      </c>
      <c r="Q132" s="265">
        <v>119</v>
      </c>
    </row>
    <row r="133" ht="15.75" customHeight="1" spans="8:17" x14ac:dyDescent="0.25">
      <c r="H133" s="263"/>
      <c r="I133" s="263"/>
      <c r="P133" s="264" t="s">
        <v>207</v>
      </c>
      <c r="Q133" s="265">
        <v>90.15</v>
      </c>
    </row>
    <row r="134" ht="30.75" customHeight="1" spans="8:17" x14ac:dyDescent="0.25">
      <c r="H134" s="263"/>
      <c r="I134" s="263"/>
      <c r="P134" s="264" t="s">
        <v>208</v>
      </c>
      <c r="Q134" s="265">
        <v>127.41</v>
      </c>
    </row>
    <row r="135" ht="12.75" customHeight="1" spans="9:17" x14ac:dyDescent="0.25">
      <c r="I135" s="266"/>
      <c r="P135" s="174" t="s">
        <v>106</v>
      </c>
      <c r="Q135" s="266">
        <v>0</v>
      </c>
    </row>
  </sheetData>
  <mergeCells count="44">
    <mergeCell ref="A1:M1"/>
    <mergeCell ref="J2:L2"/>
    <mergeCell ref="A3:E3"/>
    <mergeCell ref="F3:G3"/>
    <mergeCell ref="B4:E4"/>
    <mergeCell ref="F4:G4"/>
    <mergeCell ref="C5:G5"/>
    <mergeCell ref="C6:G6"/>
    <mergeCell ref="C7:G7"/>
    <mergeCell ref="A8:G8"/>
    <mergeCell ref="A10:B11"/>
    <mergeCell ref="D10:F11"/>
    <mergeCell ref="C10:C11"/>
    <mergeCell ref="G10:G11"/>
    <mergeCell ref="D12:F12"/>
    <mergeCell ref="D13:F13"/>
    <mergeCell ref="D14:F14"/>
    <mergeCell ref="D15:F15"/>
    <mergeCell ref="D16:F16"/>
    <mergeCell ref="D17:F17"/>
    <mergeCell ref="D18:F18"/>
    <mergeCell ref="D19:F19"/>
    <mergeCell ref="A20:B20"/>
    <mergeCell ref="C20:G20"/>
    <mergeCell ref="A22:B22"/>
    <mergeCell ref="C22:D22"/>
    <mergeCell ref="E22:G22"/>
    <mergeCell ref="A23:B23"/>
    <mergeCell ref="C23:D23"/>
    <mergeCell ref="E23:G23"/>
    <mergeCell ref="C24:D24"/>
    <mergeCell ref="E24:G24"/>
    <mergeCell ref="A25:B25"/>
    <mergeCell ref="C25:D25"/>
    <mergeCell ref="E25:G25"/>
    <mergeCell ref="A26:B26"/>
    <mergeCell ref="C26:D26"/>
    <mergeCell ref="E26:G26"/>
    <mergeCell ref="A27:B27"/>
    <mergeCell ref="C27:D27"/>
    <mergeCell ref="E27:G27"/>
    <mergeCell ref="A30:F30"/>
    <mergeCell ref="H36:I36"/>
    <mergeCell ref="P36:Q36"/>
  </mergeCells>
  <conditionalFormatting sqref="D17">
    <cfRule type="cellIs" dxfId="5" priority="2" operator="greaterThan">
      <formula>1</formula>
    </cfRule>
  </conditionalFormatting>
  <conditionalFormatting sqref="D19">
    <cfRule type="cellIs" dxfId="6" priority="3" operator="greaterThan">
      <formula>1</formula>
    </cfRule>
  </conditionalFormatting>
  <conditionalFormatting sqref="F4:G4">
    <cfRule type="cellIs" dxfId="7" priority="4" operator="equal">
      <formula>""</formula>
    </cfRule>
    <cfRule type="expression" dxfId="8" priority="5">
      <formula>"F4="""""</formula>
    </cfRule>
    <cfRule type="expression" dxfId="9" priority="6">
      <formula>""</formula>
    </cfRule>
  </conditionalFormatting>
  <conditionalFormatting sqref="G12">
    <cfRule type="cellIs" dxfId="10" priority="7" operator="greaterThan">
      <formula>1</formula>
    </cfRule>
  </conditionalFormatting>
  <conditionalFormatting sqref="G16">
    <cfRule type="cellIs" dxfId="11" priority="8" operator="greaterThan">
      <formula>1</formula>
    </cfRule>
  </conditionalFormatting>
  <conditionalFormatting sqref="G18">
    <cfRule type="cellIs" dxfId="12" priority="9" operator="greaterThan">
      <formula>1</formula>
    </cfRule>
  </conditionalFormatting>
  <conditionalFormatting sqref="J12:J19">
    <cfRule type="expression" dxfId="13" priority="10">
      <formula>"suma($C$13:$G$13)&gt;2"</formula>
    </cfRule>
  </conditionalFormatting>
  <dataValidations count="6">
    <dataValidation type="list" allowBlank="1" showInputMessage="1" prompt="ELIJA EL PAIS AL QUE VA" showErrorMessage="1" errorStyle="stop" sqref="A25:B25">
      <formula1>$P$37:$P$135</formula1>
      <formula2>0</formula2>
    </dataValidation>
    <dataValidation type="whole" allowBlank="1" showInputMessage="1" showErrorMessage="1" errorStyle="stop" sqref="D12:F12">
      <formula1>1</formula1>
      <formula2>15</formula2>
    </dataValidation>
    <dataValidation type="whole" allowBlank="1" showInputMessage="1" showErrorMessage="1" errorStyle="stop" sqref="D14:F14">
      <formula1>1</formula1>
      <formula2>1</formula2>
    </dataValidation>
    <dataValidation type="decimal" allowBlank="1" showInputMessage="1" showErrorMessage="1" errorStyle="stop" sqref="D16:F16">
      <formula1>1</formula1>
      <formula2>15</formula2>
    </dataValidation>
    <dataValidation type="whole" allowBlank="1" showInputMessage="1" showErrorMessage="1" errorStyle="stop" sqref="G13">
      <formula1>1</formula1>
      <formula2>15</formula2>
    </dataValidation>
    <dataValidation type="whole" allowBlank="1" showInputMessage="1" showErrorMessage="1" errorStyle="stop" sqref="G15">
      <formula1>1</formula1>
      <formula2>1</formula2>
    </dataValidation>
  </dataValidations>
  <pageMargins left="0.315277777777778" right="0.315277777777778" top="0.275694444444444" bottom="0.157638888888889" header="0.511811023622047" footer="0"/>
  <pageSetup paperSize="9" orientation="landscape" horizontalDpi="300" verticalDpi="300" scale="100" fitToWidth="1" fitToHeight="1" firstPageNumber="1" useFirstPageNumber="1" copies="1"/>
  <headerFooter>
    <oddFooter>&amp;R&amp;F</oddFooter>
  </headerFooter>
  <drawing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 zoomScale="150" zoomScaleNormal="150" view="normal">
      <selection activeCell="B50" sqref="B50"/>
    </sheetView>
  </sheetViews>
  <sheetFormatPr defaultRowHeight="12.75" outlineLevelRow="0" outlineLevelCol="0" x14ac:dyDescent="0" defaultColWidth="11.43359375" customHeight="1"/>
  <cols>
    <col min="2" max="2" width="79.57" customWidth="1"/>
  </cols>
  <sheetData>
    <row r="1" ht="21" customHeight="1" spans="1:6" x14ac:dyDescent="0.25">
      <c r="A1" s="267" t="s">
        <v>209</v>
      </c>
      <c r="B1" s="267"/>
      <c r="C1" s="267"/>
      <c r="D1" s="267"/>
      <c r="E1" s="267"/>
      <c r="F1" s="267"/>
    </row>
    <row r="2" ht="12.75" customHeight="1" spans="2:5" x14ac:dyDescent="0.25">
      <c r="B2" s="268" t="s">
        <v>210</v>
      </c>
      <c r="C2" s="268"/>
      <c r="D2" s="268"/>
      <c r="E2" s="268"/>
    </row>
    <row r="3" ht="12.75" customHeight="1" spans="2:2" x14ac:dyDescent="0.25">
      <c r="B3" s="269" t="s">
        <v>211</v>
      </c>
    </row>
    <row r="4" ht="6" customHeight="1" x14ac:dyDescent="0.25"/>
    <row r="5" ht="12.75" customHeight="1" spans="1:1" x14ac:dyDescent="0.25">
      <c r="A5" s="270" t="s">
        <v>212</v>
      </c>
    </row>
    <row r="6" ht="12.75" customHeight="1" spans="2:2" x14ac:dyDescent="0.25">
      <c r="B6" s="270" t="s">
        <v>213</v>
      </c>
    </row>
    <row r="7" ht="12.75" customHeight="1" spans="2:2" x14ac:dyDescent="0.25">
      <c r="B7" s="270" t="s">
        <v>214</v>
      </c>
    </row>
    <row r="8" ht="12.75" customHeight="1" spans="2:2" x14ac:dyDescent="0.25">
      <c r="B8" s="270" t="s">
        <v>215</v>
      </c>
    </row>
    <row r="9" ht="12.75" customHeight="1" spans="2:2" x14ac:dyDescent="0.25">
      <c r="B9" s="270" t="s">
        <v>216</v>
      </c>
    </row>
    <row r="10" ht="12.75" customHeight="1" spans="2:2" x14ac:dyDescent="0.25">
      <c r="B10" s="270" t="s">
        <v>217</v>
      </c>
    </row>
    <row r="11" ht="12.75" customHeight="1" spans="2:3" x14ac:dyDescent="0.25">
      <c r="B11" s="270" t="s">
        <v>218</v>
      </c>
      <c r="C11" t="s">
        <v>219</v>
      </c>
    </row>
    <row r="12" ht="12.75" customHeight="1" spans="2:3" x14ac:dyDescent="0.25">
      <c r="B12" s="270" t="s">
        <v>220</v>
      </c>
      <c r="C12" s="271"/>
    </row>
    <row r="13" ht="12.75" customHeight="1" spans="2:2" x14ac:dyDescent="0.25">
      <c r="B13" s="270" t="s">
        <v>221</v>
      </c>
    </row>
    <row r="14" ht="12.75" customHeight="1" spans="2:2" x14ac:dyDescent="0.25">
      <c r="B14" s="272" t="s">
        <v>222</v>
      </c>
    </row>
    <row r="15" ht="12.75" customHeight="1" spans="2:2" x14ac:dyDescent="0.25">
      <c r="B15" s="273" t="s">
        <v>223</v>
      </c>
    </row>
    <row r="16" ht="12.75" customHeight="1" spans="2:2" x14ac:dyDescent="0.25">
      <c r="B16" s="273" t="s">
        <v>224</v>
      </c>
    </row>
    <row r="17" ht="12.75" customHeight="1" spans="2:2" x14ac:dyDescent="0.25">
      <c r="B17" s="272" t="s">
        <v>225</v>
      </c>
    </row>
    <row r="18" ht="12.75" customHeight="1" spans="2:2" x14ac:dyDescent="0.25">
      <c r="B18" s="273" t="s">
        <v>226</v>
      </c>
    </row>
    <row r="19" ht="12.75" customHeight="1" spans="2:2" x14ac:dyDescent="0.25">
      <c r="B19" s="270" t="s">
        <v>227</v>
      </c>
    </row>
    <row r="20" ht="12.75" customHeight="1" spans="2:2" x14ac:dyDescent="0.25">
      <c r="B20" s="270" t="s">
        <v>228</v>
      </c>
    </row>
    <row r="21" ht="12.75" customHeight="1" spans="2:6" x14ac:dyDescent="0.25">
      <c r="B21" s="274" t="s">
        <v>229</v>
      </c>
      <c r="F21" t="s">
        <v>230</v>
      </c>
    </row>
    <row r="22" ht="12.75" customHeight="1" spans="2:2" x14ac:dyDescent="0.25">
      <c r="B22" s="270" t="s">
        <v>231</v>
      </c>
    </row>
    <row r="23" ht="12.75" customHeight="1" spans="2:2" x14ac:dyDescent="0.25">
      <c r="B23" s="270" t="s">
        <v>232</v>
      </c>
    </row>
    <row r="24" ht="12.75" customHeight="1" spans="2:2" x14ac:dyDescent="0.25">
      <c r="B24" s="270" t="s">
        <v>233</v>
      </c>
    </row>
    <row r="25" ht="12.75" customHeight="1" spans="2:2" x14ac:dyDescent="0.25">
      <c r="B25" s="270" t="s">
        <v>234</v>
      </c>
    </row>
    <row r="27" ht="12.75" customHeight="1" spans="1:1" x14ac:dyDescent="0.25">
      <c r="A27" s="270" t="s">
        <v>235</v>
      </c>
    </row>
    <row r="28" ht="12.75" customHeight="1" spans="2:2" x14ac:dyDescent="0.25">
      <c r="B28" s="275" t="s">
        <v>236</v>
      </c>
    </row>
    <row r="29" ht="12.75" customHeight="1" spans="2:2" x14ac:dyDescent="0.25">
      <c r="B29" s="276" t="s">
        <v>237</v>
      </c>
    </row>
    <row r="31" ht="12.75" customHeight="1" spans="2:2" x14ac:dyDescent="0.25">
      <c r="B31" s="269" t="s">
        <v>238</v>
      </c>
    </row>
    <row r="32" ht="6.75" customHeight="1" x14ac:dyDescent="0.25"/>
    <row r="33" ht="12" customHeight="1" spans="1:1" x14ac:dyDescent="0.25">
      <c r="A33" s="270" t="s">
        <v>239</v>
      </c>
    </row>
    <row r="34" ht="12.75" customHeight="1" spans="1:1" x14ac:dyDescent="0.25">
      <c r="A34" t="s">
        <v>240</v>
      </c>
    </row>
    <row r="35" ht="12.75" customHeight="1" spans="2:2" x14ac:dyDescent="0.25">
      <c r="B35" s="270" t="s">
        <v>227</v>
      </c>
    </row>
    <row r="36" ht="12.75" customHeight="1" spans="2:2" x14ac:dyDescent="0.25">
      <c r="B36" s="270" t="s">
        <v>241</v>
      </c>
    </row>
    <row r="37" ht="12.75" customHeight="1" spans="2:2" x14ac:dyDescent="0.25">
      <c r="B37" s="270" t="s">
        <v>242</v>
      </c>
    </row>
    <row r="38" ht="12.75" customHeight="1" spans="2:2" x14ac:dyDescent="0.25">
      <c r="B38" s="270" t="s">
        <v>243</v>
      </c>
    </row>
    <row r="39" ht="12.75" customHeight="1" spans="2:2" x14ac:dyDescent="0.25">
      <c r="B39" s="270" t="s">
        <v>244</v>
      </c>
    </row>
    <row r="40" ht="12.75" customHeight="1" spans="2:2" x14ac:dyDescent="0.25">
      <c r="B40" s="276" t="s">
        <v>245</v>
      </c>
    </row>
    <row r="42" ht="12.75" customHeight="1" spans="1:1" x14ac:dyDescent="0.25">
      <c r="A42" s="270" t="s">
        <v>246</v>
      </c>
    </row>
    <row r="43" ht="12.75" customHeight="1" spans="1:1" x14ac:dyDescent="0.25">
      <c r="A43" s="275" t="s">
        <v>247</v>
      </c>
    </row>
    <row r="44" ht="12.75" customHeight="1" spans="1:1" x14ac:dyDescent="0.25">
      <c r="A44" s="275" t="s">
        <v>248</v>
      </c>
    </row>
    <row r="46" ht="12.75" customHeight="1" spans="2:2" x14ac:dyDescent="0.25">
      <c r="B46" s="269" t="s">
        <v>249</v>
      </c>
    </row>
    <row r="47" ht="12.75" customHeight="1" spans="2:2" x14ac:dyDescent="0.25">
      <c r="B47" s="275" t="s">
        <v>250</v>
      </c>
    </row>
    <row r="48" ht="15.75" customHeight="1" spans="2:2" x14ac:dyDescent="0.25">
      <c r="B48" s="277" t="s">
        <v>251</v>
      </c>
    </row>
    <row r="49" ht="15.75" customHeight="1" spans="2:2" x14ac:dyDescent="0.25">
      <c r="B49" s="277" t="s">
        <v>252</v>
      </c>
    </row>
    <row r="50" ht="15.75" customHeight="1" spans="2:2" x14ac:dyDescent="0.25">
      <c r="B50" s="277" t="s">
        <v>253</v>
      </c>
    </row>
  </sheetData>
  <mergeCells count="2">
    <mergeCell ref="A1:F1"/>
    <mergeCell ref="B2:E2"/>
  </mergeCells>
  <pageMargins left="0.55" right="0.75" top="0.170138888888889" bottom="0.334722222222222" header="0.511811023622047" footer="0.511811023622047"/>
  <pageSetup paperSize="9" orientation="landscape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Anverso</vt:lpstr>
      <vt:lpstr>Reverso</vt:lpstr>
      <vt:lpstr>Autoliquidación</vt:lpstr>
      <vt:lpstr>Instrucciones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Jesus Felipe Pizarro</dc:creator>
  <dc:title/>
  <dc:subject/>
  <dc:description/>
  <dc:language>es-ES</dc:language>
  <cp:lastModifiedBy>Unknown</cp:lastModifiedBy>
  <cp:lastPrinted>2025-05-14T12:08:11Z</cp:lastPrinted>
  <cp:revision>1</cp:revision>
  <dcterms:created xsi:type="dcterms:W3CDTF">2001-04-02T06:50:33Z</dcterms:created>
  <dcterms:modified xsi:type="dcterms:W3CDTF">2025-11-26T10:04:20Z</dcterms:modified>
</cp:coreProperties>
</file>